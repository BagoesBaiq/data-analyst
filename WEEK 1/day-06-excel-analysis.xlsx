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472ba69629624744/Documents/Bagus/data-analyst/WEEK 1/"/>
    </mc:Choice>
  </mc:AlternateContent>
  <xr:revisionPtr revIDLastSave="0" documentId="8_{0A73040C-889D-4C94-9634-E5D28EAAAF5F}" xr6:coauthVersionLast="47" xr6:coauthVersionMax="47" xr10:uidLastSave="{00000000-0000-0000-0000-000000000000}"/>
  <bookViews>
    <workbookView xWindow="-120" yWindow="-120" windowWidth="20730" windowHeight="11760" activeTab="3" xr2:uid="{929461BC-1FB7-4984-813B-B6F665288275}"/>
  </bookViews>
  <sheets>
    <sheet name="raw_data" sheetId="1" r:id="rId1"/>
    <sheet name="Detail1" sheetId="8" r:id="rId2"/>
    <sheet name="Sheet5" sheetId="9" r:id="rId3"/>
    <sheet name="clean_data" sheetId="3" r:id="rId4"/>
    <sheet name="data_quality_notes" sheetId="2" r:id="rId5"/>
  </sheets>
  <calcPr calcId="191029"/>
  <pivotCaches>
    <pivotCache cacheId="28"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 i="3" l="1"/>
  <c r="L3" i="3"/>
  <c r="L4" i="3"/>
  <c r="L5" i="3"/>
  <c r="L6" i="3"/>
  <c r="L7" i="3"/>
  <c r="L8" i="3"/>
  <c r="L9" i="3"/>
  <c r="L10" i="3"/>
  <c r="L12" i="3"/>
  <c r="L13" i="3"/>
  <c r="K3" i="3"/>
  <c r="K4" i="3"/>
  <c r="K5" i="3"/>
  <c r="K6" i="3"/>
  <c r="K7" i="3"/>
  <c r="K8" i="3"/>
  <c r="K9" i="3"/>
  <c r="K10" i="3"/>
  <c r="K12" i="3"/>
  <c r="K13" i="3"/>
  <c r="N2" i="3"/>
  <c r="S2" i="3"/>
  <c r="R2" i="3"/>
  <c r="Q2" i="3"/>
  <c r="P2" i="3"/>
  <c r="L2" i="3"/>
  <c r="D9" i="3"/>
  <c r="J2" i="3"/>
  <c r="K2" i="3"/>
  <c r="J3" i="3"/>
  <c r="J4" i="3"/>
  <c r="J5" i="3"/>
  <c r="J6" i="3"/>
  <c r="J7" i="3"/>
  <c r="J8" i="3"/>
  <c r="J9" i="3"/>
  <c r="J10" i="3"/>
  <c r="J12" i="3"/>
  <c r="J13" i="3"/>
</calcChain>
</file>

<file path=xl/sharedStrings.xml><?xml version="1.0" encoding="utf-8"?>
<sst xmlns="http://schemas.openxmlformats.org/spreadsheetml/2006/main" count="339" uniqueCount="87">
  <si>
    <t>order_id</t>
  </si>
  <si>
    <t>customer</t>
  </si>
  <si>
    <t>product</t>
  </si>
  <si>
    <t>category</t>
  </si>
  <si>
    <t>price</t>
  </si>
  <si>
    <t>quantity</t>
  </si>
  <si>
    <t>order_date</t>
  </si>
  <si>
    <t>city</t>
  </si>
  <si>
    <t>payment</t>
  </si>
  <si>
    <t>O001</t>
  </si>
  <si>
    <t>Andi</t>
  </si>
  <si>
    <t>Laptop</t>
  </si>
  <si>
    <t>Electronics</t>
  </si>
  <si>
    <t>Jakarta</t>
  </si>
  <si>
    <t>Transfer</t>
  </si>
  <si>
    <t>O002</t>
  </si>
  <si>
    <t>Budi</t>
  </si>
  <si>
    <t>Mouse</t>
  </si>
  <si>
    <t>E-Wallet</t>
  </si>
  <si>
    <t>O003</t>
  </si>
  <si>
    <t>Citra</t>
  </si>
  <si>
    <t>Keyboard</t>
  </si>
  <si>
    <t>Bandung</t>
  </si>
  <si>
    <t>O004</t>
  </si>
  <si>
    <t>Deni</t>
  </si>
  <si>
    <t>Chair</t>
  </si>
  <si>
    <t>Furniture</t>
  </si>
  <si>
    <t>Surabaya</t>
  </si>
  <si>
    <t>Credit Card</t>
  </si>
  <si>
    <t>O005</t>
  </si>
  <si>
    <t>Eka</t>
  </si>
  <si>
    <t>Desk</t>
  </si>
  <si>
    <t>O006</t>
  </si>
  <si>
    <t>Fajar</t>
  </si>
  <si>
    <t>O007</t>
  </si>
  <si>
    <t>Gina</t>
  </si>
  <si>
    <t>jakarta</t>
  </si>
  <si>
    <t>O008</t>
  </si>
  <si>
    <t>Hadi</t>
  </si>
  <si>
    <t>electronics</t>
  </si>
  <si>
    <t>O009</t>
  </si>
  <si>
    <t>Indra</t>
  </si>
  <si>
    <t>O010</t>
  </si>
  <si>
    <t>Joko</t>
  </si>
  <si>
    <t>O011</t>
  </si>
  <si>
    <t>Kiki</t>
  </si>
  <si>
    <t>O012</t>
  </si>
  <si>
    <t>Lala</t>
  </si>
  <si>
    <t>Column</t>
  </si>
  <si>
    <t>Potential Issue</t>
  </si>
  <si>
    <t>Example</t>
  </si>
  <si>
    <t>Action</t>
  </si>
  <si>
    <t>?</t>
  </si>
  <si>
    <t>lowercase</t>
  </si>
  <si>
    <t>buat jadi sama</t>
  </si>
  <si>
    <t>city_clean</t>
  </si>
  <si>
    <t>quality_flag</t>
  </si>
  <si>
    <t>ada 2</t>
  </si>
  <si>
    <t>duplicate C006</t>
  </si>
  <si>
    <t>null,0</t>
  </si>
  <si>
    <t>nilai kosong dan nilai 0</t>
  </si>
  <si>
    <t>bisa dicari dari sumber asli,missing tidak penting, missing terlalu banyak,harus dihapus</t>
  </si>
  <si>
    <t>null,inconsistency</t>
  </si>
  <si>
    <t>nilai kosong dan tidak konsisten</t>
  </si>
  <si>
    <t>bisa dicari dari sumber asli,missing tidak penting, missing terlalu banyak,harus dihapus. Kemudian perlu standarisasi teks kalau tidak konsisten</t>
  </si>
  <si>
    <t>konklusi</t>
  </si>
  <si>
    <t>Dataset mengandung duplicate pada order O006. Terdapat missing value pada quantity dan city di O010. Penulisan city dan category tidak konsisten dari sisi kapitalisasi dan whitespace. Data dibersihkan dengan menghapus duplicate yang teridentifikasi dan melakukan standardisasi teks pada field yang relevan. O009 tetap ditandai untuk diperiksa karena memiliki quantity = 0 dan belum dapat dipastikan apakah merupakan kesalahan atau kondisi bisnis yang valid.</t>
  </si>
  <si>
    <t>hapus duplikat tsb (kalau seluruh baris identik, maka menghapusnya masuk akal)</t>
  </si>
  <si>
    <t>Check</t>
  </si>
  <si>
    <t>revenue</t>
  </si>
  <si>
    <t>jumlah transaksi</t>
  </si>
  <si>
    <t>total revenue</t>
  </si>
  <si>
    <t>minimum quantity</t>
  </si>
  <si>
    <t>maksimal quantity</t>
  </si>
  <si>
    <t>minimum price</t>
  </si>
  <si>
    <t>maksimal price</t>
  </si>
  <si>
    <t>Grand Total</t>
  </si>
  <si>
    <t>Field13</t>
  </si>
  <si>
    <t>Valid</t>
  </si>
  <si>
    <t>Details for Sum of total revenue - category: Electronics</t>
  </si>
  <si>
    <t>(blank)</t>
  </si>
  <si>
    <t>Sum of revenue</t>
  </si>
  <si>
    <t>Sum of quantity</t>
  </si>
  <si>
    <t>Category</t>
  </si>
  <si>
    <t>City</t>
  </si>
  <si>
    <t>Product</t>
  </si>
  <si>
    <t>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</si>
</sst>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applyAlignment="1">
      <alignment horizontal="center"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xf numFmtId="0" fontId="1" fillId="0" borderId="0" xfId="0" applyFon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[day-06-excel-analysis.xlsx]Sheet5!PivotTable5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Electronics</c:v>
                </c:pt>
                <c:pt idx="1">
                  <c:v>Furniture</c:v>
                </c:pt>
                <c:pt idx="2">
                  <c:v>(blank)</c:v>
                </c:pt>
              </c:strCache>
            </c:strRef>
          </c:cat>
          <c:val>
            <c:numRef>
              <c:f>Sheet5!$B$4:$B$7</c:f>
              <c:numCache>
                <c:formatCode>General</c:formatCode>
                <c:ptCount val="3"/>
                <c:pt idx="0">
                  <c:v>17750000</c:v>
                </c:pt>
                <c:pt idx="1">
                  <c:v>9500000</c:v>
                </c:pt>
              </c:numCache>
            </c:numRef>
          </c:val>
          <c:extLst>
            <c:ext xmlns:c16="http://schemas.microsoft.com/office/drawing/2014/chart" uri="{C3380CC4-5D6E-409C-BE32-E72D297353CC}">
              <c16:uniqueId val="{00000000-5D13-40E6-BAD8-8F32FAD4BCAF}"/>
            </c:ext>
          </c:extLst>
        </c:ser>
        <c:dLbls>
          <c:showLegendKey val="0"/>
          <c:showVal val="0"/>
          <c:showCatName val="0"/>
          <c:showSerName val="0"/>
          <c:showPercent val="0"/>
          <c:showBubbleSize val="0"/>
        </c:dLbls>
        <c:gapWidth val="219"/>
        <c:overlap val="-27"/>
        <c:axId val="78632560"/>
        <c:axId val="2076549200"/>
      </c:barChart>
      <c:catAx>
        <c:axId val="7863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49200"/>
        <c:crosses val="autoZero"/>
        <c:auto val="1"/>
        <c:lblAlgn val="ctr"/>
        <c:lblOffset val="100"/>
        <c:noMultiLvlLbl val="0"/>
      </c:catAx>
      <c:valAx>
        <c:axId val="207654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3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[day-06-excel-analysis.xlsx]Sheet5!PivotTable6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Sheet5!$E$3</c:f>
              <c:strCache>
                <c:ptCount val="1"/>
                <c:pt idx="0">
                  <c:v>Total</c:v>
                </c:pt>
              </c:strCache>
            </c:strRef>
          </c:tx>
          <c:spPr>
            <a:solidFill>
              <a:schemeClr val="accent1"/>
            </a:solidFill>
            <a:ln>
              <a:noFill/>
            </a:ln>
            <a:effectLst/>
          </c:spPr>
          <c:invertIfNegative val="0"/>
          <c:cat>
            <c:strRef>
              <c:f>Sheet5!$D$4:$D$8</c:f>
              <c:strCache>
                <c:ptCount val="4"/>
                <c:pt idx="0">
                  <c:v>Bandung</c:v>
                </c:pt>
                <c:pt idx="1">
                  <c:v>Jakarta</c:v>
                </c:pt>
                <c:pt idx="2">
                  <c:v>Surabaya</c:v>
                </c:pt>
                <c:pt idx="3">
                  <c:v>(blank)</c:v>
                </c:pt>
              </c:strCache>
            </c:strRef>
          </c:cat>
          <c:val>
            <c:numRef>
              <c:f>Sheet5!$E$4:$E$8</c:f>
              <c:numCache>
                <c:formatCode>General</c:formatCode>
                <c:ptCount val="4"/>
                <c:pt idx="0">
                  <c:v>5500000</c:v>
                </c:pt>
                <c:pt idx="1">
                  <c:v>12250000</c:v>
                </c:pt>
                <c:pt idx="2">
                  <c:v>9500000</c:v>
                </c:pt>
              </c:numCache>
            </c:numRef>
          </c:val>
          <c:extLst>
            <c:ext xmlns:c16="http://schemas.microsoft.com/office/drawing/2014/chart" uri="{C3380CC4-5D6E-409C-BE32-E72D297353CC}">
              <c16:uniqueId val="{00000000-9C0A-467F-B9C5-2CA5B02F9DD2}"/>
            </c:ext>
          </c:extLst>
        </c:ser>
        <c:dLbls>
          <c:showLegendKey val="0"/>
          <c:showVal val="0"/>
          <c:showCatName val="0"/>
          <c:showSerName val="0"/>
          <c:showPercent val="0"/>
          <c:showBubbleSize val="0"/>
        </c:dLbls>
        <c:gapWidth val="219"/>
        <c:overlap val="-27"/>
        <c:axId val="2079852912"/>
        <c:axId val="2076506000"/>
      </c:barChart>
      <c:catAx>
        <c:axId val="207985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06000"/>
        <c:crosses val="autoZero"/>
        <c:auto val="1"/>
        <c:lblAlgn val="ctr"/>
        <c:lblOffset val="100"/>
        <c:noMultiLvlLbl val="0"/>
      </c:catAx>
      <c:valAx>
        <c:axId val="207650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5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[day-06-excel-analysis.xlsx]Sheet5!PivotTable7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Sheet5!$H$3</c:f>
              <c:strCache>
                <c:ptCount val="1"/>
                <c:pt idx="0">
                  <c:v>Sum of revenue</c:v>
                </c:pt>
              </c:strCache>
            </c:strRef>
          </c:tx>
          <c:spPr>
            <a:solidFill>
              <a:schemeClr val="accent1"/>
            </a:solidFill>
            <a:ln>
              <a:noFill/>
            </a:ln>
            <a:effectLst/>
          </c:spPr>
          <c:invertIfNegative val="0"/>
          <c:cat>
            <c:strRef>
              <c:f>Sheet5!$G$4:$G$10</c:f>
              <c:strCache>
                <c:ptCount val="6"/>
                <c:pt idx="0">
                  <c:v>Chair</c:v>
                </c:pt>
                <c:pt idx="1">
                  <c:v>Desk</c:v>
                </c:pt>
                <c:pt idx="2">
                  <c:v>Keyboard</c:v>
                </c:pt>
                <c:pt idx="3">
                  <c:v>Laptop</c:v>
                </c:pt>
                <c:pt idx="4">
                  <c:v>Mouse</c:v>
                </c:pt>
                <c:pt idx="5">
                  <c:v>(blank)</c:v>
                </c:pt>
              </c:strCache>
            </c:strRef>
          </c:cat>
          <c:val>
            <c:numRef>
              <c:f>Sheet5!$H$4:$H$10</c:f>
              <c:numCache>
                <c:formatCode>General</c:formatCode>
                <c:ptCount val="6"/>
                <c:pt idx="0">
                  <c:v>4500000</c:v>
                </c:pt>
                <c:pt idx="1">
                  <c:v>5000000</c:v>
                </c:pt>
                <c:pt idx="2">
                  <c:v>1000000</c:v>
                </c:pt>
                <c:pt idx="3">
                  <c:v>16000000</c:v>
                </c:pt>
                <c:pt idx="4">
                  <c:v>750000</c:v>
                </c:pt>
              </c:numCache>
            </c:numRef>
          </c:val>
          <c:extLst>
            <c:ext xmlns:c16="http://schemas.microsoft.com/office/drawing/2014/chart" uri="{C3380CC4-5D6E-409C-BE32-E72D297353CC}">
              <c16:uniqueId val="{00000000-7AF9-4F01-B138-C40254DEC77D}"/>
            </c:ext>
          </c:extLst>
        </c:ser>
        <c:ser>
          <c:idx val="1"/>
          <c:order val="1"/>
          <c:tx>
            <c:strRef>
              <c:f>Sheet5!$I$3</c:f>
              <c:strCache>
                <c:ptCount val="1"/>
                <c:pt idx="0">
                  <c:v>Sum of quantity</c:v>
                </c:pt>
              </c:strCache>
            </c:strRef>
          </c:tx>
          <c:spPr>
            <a:solidFill>
              <a:schemeClr val="accent2"/>
            </a:solidFill>
            <a:ln>
              <a:noFill/>
            </a:ln>
            <a:effectLst/>
          </c:spPr>
          <c:invertIfNegative val="0"/>
          <c:cat>
            <c:strRef>
              <c:f>Sheet5!$G$4:$G$10</c:f>
              <c:strCache>
                <c:ptCount val="6"/>
                <c:pt idx="0">
                  <c:v>Chair</c:v>
                </c:pt>
                <c:pt idx="1">
                  <c:v>Desk</c:v>
                </c:pt>
                <c:pt idx="2">
                  <c:v>Keyboard</c:v>
                </c:pt>
                <c:pt idx="3">
                  <c:v>Laptop</c:v>
                </c:pt>
                <c:pt idx="4">
                  <c:v>Mouse</c:v>
                </c:pt>
                <c:pt idx="5">
                  <c:v>(blank)</c:v>
                </c:pt>
              </c:strCache>
            </c:strRef>
          </c:cat>
          <c:val>
            <c:numRef>
              <c:f>Sheet5!$I$4:$I$10</c:f>
              <c:numCache>
                <c:formatCode>General</c:formatCode>
                <c:ptCount val="6"/>
                <c:pt idx="0">
                  <c:v>3</c:v>
                </c:pt>
                <c:pt idx="1">
                  <c:v>2</c:v>
                </c:pt>
                <c:pt idx="2">
                  <c:v>2</c:v>
                </c:pt>
                <c:pt idx="3">
                  <c:v>2</c:v>
                </c:pt>
                <c:pt idx="4">
                  <c:v>3</c:v>
                </c:pt>
              </c:numCache>
            </c:numRef>
          </c:val>
          <c:extLst>
            <c:ext xmlns:c16="http://schemas.microsoft.com/office/drawing/2014/chart" uri="{C3380CC4-5D6E-409C-BE32-E72D297353CC}">
              <c16:uniqueId val="{00000001-7AF9-4F01-B138-C40254DEC77D}"/>
            </c:ext>
          </c:extLst>
        </c:ser>
        <c:dLbls>
          <c:showLegendKey val="0"/>
          <c:showVal val="0"/>
          <c:showCatName val="0"/>
          <c:showSerName val="0"/>
          <c:showPercent val="0"/>
          <c:showBubbleSize val="0"/>
        </c:dLbls>
        <c:gapWidth val="219"/>
        <c:overlap val="-27"/>
        <c:axId val="2079859408"/>
        <c:axId val="2076482480"/>
      </c:barChart>
      <c:catAx>
        <c:axId val="207985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82480"/>
        <c:crosses val="autoZero"/>
        <c:auto val="1"/>
        <c:lblAlgn val="ctr"/>
        <c:lblOffset val="100"/>
        <c:noMultiLvlLbl val="0"/>
      </c:catAx>
      <c:valAx>
        <c:axId val="207648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5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231320</xdr:colOff>
      <xdr:row>17</xdr:row>
      <xdr:rowOff>99332</xdr:rowOff>
    </xdr:from>
    <xdr:to>
      <xdr:col>20</xdr:col>
      <xdr:colOff>503463</xdr:colOff>
      <xdr:row>31</xdr:row>
      <xdr:rowOff>175532</xdr:rowOff>
    </xdr:to>
    <xdr:graphicFrame macro="">
      <xdr:nvGraphicFramePr>
        <xdr:cNvPr id="4" name="Chart 3">
          <a:extLst>
            <a:ext uri="{FF2B5EF4-FFF2-40B4-BE49-F238E27FC236}">
              <a16:creationId xmlns:a16="http://schemas.microsoft.com/office/drawing/2014/main" id="{09AE3C5A-8058-B4C8-AF35-6536D67F2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217714</xdr:colOff>
      <xdr:row>2</xdr:row>
      <xdr:rowOff>166007</xdr:rowOff>
    </xdr:from>
    <xdr:to>
      <xdr:col>20</xdr:col>
      <xdr:colOff>495300</xdr:colOff>
      <xdr:row>17</xdr:row>
      <xdr:rowOff>51707</xdr:rowOff>
    </xdr:to>
    <xdr:graphicFrame macro="">
      <xdr:nvGraphicFramePr>
        <xdr:cNvPr id="5" name="Chart 4">
          <a:extLst>
            <a:ext uri="{FF2B5EF4-FFF2-40B4-BE49-F238E27FC236}">
              <a16:creationId xmlns:a16="http://schemas.microsoft.com/office/drawing/2014/main" id="{E204A61B-1B29-6DB4-8D00-C4A144165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510267</xdr:colOff>
      <xdr:row>2</xdr:row>
      <xdr:rowOff>145596</xdr:rowOff>
    </xdr:from>
    <xdr:to>
      <xdr:col>28</xdr:col>
      <xdr:colOff>183696</xdr:colOff>
      <xdr:row>17</xdr:row>
      <xdr:rowOff>31296</xdr:rowOff>
    </xdr:to>
    <xdr:graphicFrame macro="">
      <xdr:nvGraphicFramePr>
        <xdr:cNvPr id="6" name="Chart 5">
          <a:extLst>
            <a:ext uri="{FF2B5EF4-FFF2-40B4-BE49-F238E27FC236}">
              <a16:creationId xmlns:a16="http://schemas.microsoft.com/office/drawing/2014/main" id="{A901BA96-FB28-D835-BED9-C65C06782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300.890109837965" createdVersion="8" refreshedVersion="8" minRefreshableVersion="3" recordCount="11" xr:uid="{7B3C6DA7-57E5-4368-9D82-509870A9C4E3}">
  <cacheSource type="worksheet">
    <worksheetSource ref="A1:S12" sheet="clean_data"/>
  </cacheSource>
  <cacheFields count="19">
    <cacheField name="order_id" numFmtId="0">
      <sharedItems containsBlank="1" count="11">
        <s v="O001"/>
        <s v="O002"/>
        <s v="O003"/>
        <s v="O004"/>
        <s v="O005"/>
        <s v="O006"/>
        <s v="O007"/>
        <s v="O008"/>
        <s v="O009"/>
        <m/>
        <s v="O011"/>
      </sharedItems>
    </cacheField>
    <cacheField name="customer" numFmtId="0">
      <sharedItems containsBlank="1"/>
    </cacheField>
    <cacheField name="product" numFmtId="0">
      <sharedItems containsBlank="1" count="6">
        <s v="Laptop"/>
        <s v="Mouse"/>
        <s v="Keyboard"/>
        <s v="Chair"/>
        <s v="Desk"/>
        <m/>
      </sharedItems>
    </cacheField>
    <cacheField name="category" numFmtId="0">
      <sharedItems containsBlank="1" count="3">
        <s v="Electronics"/>
        <s v="Furniture"/>
        <m/>
      </sharedItems>
    </cacheField>
    <cacheField name="price" numFmtId="0">
      <sharedItems containsString="0" containsBlank="1" containsNumber="1" containsInteger="1" minValue="250000" maxValue="8000000"/>
    </cacheField>
    <cacheField name="quantity" numFmtId="0">
      <sharedItems containsString="0" containsBlank="1" containsNumber="1" containsInteger="1" minValue="0" maxValue="2"/>
    </cacheField>
    <cacheField name="order_date" numFmtId="14">
      <sharedItems containsNonDate="0" containsDate="1" containsString="0" containsBlank="1" minDate="2026-09-01T00:00:00" maxDate="2026-09-07T00:00:00"/>
    </cacheField>
    <cacheField name="city" numFmtId="0">
      <sharedItems containsBlank="1" count="4">
        <s v="Jakarta"/>
        <s v="Bandung"/>
        <s v="Surabaya"/>
        <m/>
      </sharedItems>
    </cacheField>
    <cacheField name="payment" numFmtId="0">
      <sharedItems containsBlank="1" count="4">
        <s v="Transfer"/>
        <s v="E-Wallet"/>
        <s v="Credit Card"/>
        <m/>
      </sharedItems>
    </cacheField>
    <cacheField name="city_clean" numFmtId="0">
      <sharedItems containsBlank="1"/>
    </cacheField>
    <cacheField name="quality_flag" numFmtId="0">
      <sharedItems containsBlank="1"/>
    </cacheField>
    <cacheField name="revenue" numFmtId="0">
      <sharedItems containsString="0" containsBlank="1" containsNumber="1" containsInteger="1" minValue="0" maxValue="8000000"/>
    </cacheField>
    <cacheField name="Field13" caption="Field13" numFmtId="0">
      <sharedItems containsNonDate="0" containsString="0" containsBlank="1"/>
    </cacheField>
    <cacheField name="jumlah transaksi" numFmtId="0">
      <sharedItems containsString="0" containsBlank="1" containsNumber="1" containsInteger="1" minValue="11" maxValue="11"/>
    </cacheField>
    <cacheField name="total revenue" numFmtId="0">
      <sharedItems containsString="0" containsBlank="1" containsNumber="1" containsInteger="1" minValue="28750000" maxValue="28750000"/>
    </cacheField>
    <cacheField name="minimum quantity" numFmtId="0">
      <sharedItems containsString="0" containsBlank="1" containsNumber="1" containsInteger="1" minValue="0" maxValue="0"/>
    </cacheField>
    <cacheField name="maksimal quantity" numFmtId="0">
      <sharedItems containsString="0" containsBlank="1" containsNumber="1" containsInteger="1" minValue="2" maxValue="2"/>
    </cacheField>
    <cacheField name="minimum price" numFmtId="0">
      <sharedItems containsString="0" containsBlank="1" containsNumber="1" containsInteger="1" minValue="250000" maxValue="250000"/>
    </cacheField>
    <cacheField name="maksimal price" numFmtId="0">
      <sharedItems containsString="0" containsBlank="1" containsNumber="1" containsInteger="1" minValue="8000000" maxValue="8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s v="Andi"/>
    <x v="0"/>
    <x v="0"/>
    <n v="8000000"/>
    <n v="1"/>
    <d v="2026-09-01T00:00:00"/>
    <x v="0"/>
    <x v="0"/>
    <s v="Jakarta"/>
    <s v="Valid"/>
    <n v="8000000"/>
    <m/>
    <n v="11"/>
    <n v="28750000"/>
    <n v="0"/>
    <n v="2"/>
    <n v="250000"/>
    <n v="8000000"/>
  </r>
  <r>
    <x v="1"/>
    <s v="Budi"/>
    <x v="1"/>
    <x v="0"/>
    <n v="250000"/>
    <n v="2"/>
    <d v="2026-09-01T00:00:00"/>
    <x v="0"/>
    <x v="1"/>
    <s v="Jakarta"/>
    <s v="Valid"/>
    <n v="500000"/>
    <m/>
    <m/>
    <m/>
    <m/>
    <m/>
    <m/>
    <m/>
  </r>
  <r>
    <x v="2"/>
    <s v="Citra"/>
    <x v="2"/>
    <x v="0"/>
    <n v="500000"/>
    <n v="1"/>
    <d v="2026-09-02T00:00:00"/>
    <x v="1"/>
    <x v="0"/>
    <s v="Bandung"/>
    <s v="Valid"/>
    <n v="500000"/>
    <m/>
    <m/>
    <m/>
    <m/>
    <m/>
    <m/>
    <m/>
  </r>
  <r>
    <x v="3"/>
    <s v="Deni"/>
    <x v="3"/>
    <x v="1"/>
    <n v="1500000"/>
    <n v="1"/>
    <d v="2026-09-02T00:00:00"/>
    <x v="2"/>
    <x v="2"/>
    <s v="Surabaya"/>
    <s v="Valid"/>
    <n v="1500000"/>
    <m/>
    <m/>
    <m/>
    <m/>
    <m/>
    <m/>
    <m/>
  </r>
  <r>
    <x v="4"/>
    <s v="Eka"/>
    <x v="4"/>
    <x v="1"/>
    <n v="2500000"/>
    <n v="2"/>
    <d v="2026-09-03T00:00:00"/>
    <x v="1"/>
    <x v="0"/>
    <s v="Bandung"/>
    <s v="Valid"/>
    <n v="5000000"/>
    <m/>
    <m/>
    <m/>
    <m/>
    <m/>
    <m/>
    <m/>
  </r>
  <r>
    <x v="5"/>
    <s v="Fajar"/>
    <x v="1"/>
    <x v="0"/>
    <n v="250000"/>
    <n v="1"/>
    <d v="2026-09-03T00:00:00"/>
    <x v="0"/>
    <x v="1"/>
    <s v="Jakarta"/>
    <s v="Valid"/>
    <n v="250000"/>
    <m/>
    <m/>
    <m/>
    <m/>
    <m/>
    <m/>
    <m/>
  </r>
  <r>
    <x v="6"/>
    <s v="Gina"/>
    <x v="3"/>
    <x v="1"/>
    <n v="1500000"/>
    <n v="2"/>
    <d v="2026-09-04T00:00:00"/>
    <x v="0"/>
    <x v="2"/>
    <s v="Jakarta"/>
    <s v="Valid"/>
    <n v="3000000"/>
    <m/>
    <m/>
    <m/>
    <m/>
    <m/>
    <m/>
    <m/>
  </r>
  <r>
    <x v="7"/>
    <s v="Hadi"/>
    <x v="0"/>
    <x v="0"/>
    <n v="8000000"/>
    <n v="1"/>
    <d v="2026-09-04T00:00:00"/>
    <x v="2"/>
    <x v="0"/>
    <s v="Surabaya"/>
    <s v="Valid"/>
    <n v="8000000"/>
    <m/>
    <m/>
    <m/>
    <m/>
    <m/>
    <m/>
    <m/>
  </r>
  <r>
    <x v="8"/>
    <s v="Indra"/>
    <x v="4"/>
    <x v="1"/>
    <n v="2500000"/>
    <n v="0"/>
    <d v="2026-09-05T00:00:00"/>
    <x v="1"/>
    <x v="0"/>
    <s v="Bandung"/>
    <s v="Check"/>
    <n v="0"/>
    <m/>
    <m/>
    <m/>
    <m/>
    <m/>
    <m/>
    <m/>
  </r>
  <r>
    <x v="9"/>
    <m/>
    <x v="5"/>
    <x v="2"/>
    <m/>
    <m/>
    <m/>
    <x v="3"/>
    <x v="3"/>
    <m/>
    <m/>
    <m/>
    <m/>
    <m/>
    <m/>
    <m/>
    <m/>
    <m/>
    <m/>
  </r>
  <r>
    <x v="10"/>
    <s v="Kiki"/>
    <x v="2"/>
    <x v="0"/>
    <n v="500000"/>
    <n v="1"/>
    <d v="2026-09-06T00:00:00"/>
    <x v="0"/>
    <x v="0"/>
    <s v="Jakarta"/>
    <s v="Valid"/>
    <n v="500000"/>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0308BE-2A43-47F6-9824-5FD2F5F048C1}"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M3:M18" firstHeaderRow="1" firstDataRow="1" firstDataCol="1"/>
  <pivotFields count="19">
    <pivotField axis="axisRow" showAll="0">
      <items count="12">
        <item x="0"/>
        <item x="1"/>
        <item x="2"/>
        <item x="3"/>
        <item x="4"/>
        <item x="5"/>
        <item x="6"/>
        <item x="7"/>
        <item x="8"/>
        <item x="10"/>
        <item x="9"/>
        <item t="default"/>
      </items>
    </pivotField>
    <pivotField showAll="0"/>
    <pivotField showAll="0">
      <items count="7">
        <item x="3"/>
        <item x="4"/>
        <item x="2"/>
        <item x="0"/>
        <item x="1"/>
        <item x="5"/>
        <item t="default"/>
      </items>
    </pivotField>
    <pivotField showAll="0"/>
    <pivotField showAll="0"/>
    <pivotField showAll="0"/>
    <pivotField showAll="0"/>
    <pivotField showAll="0"/>
    <pivotField axis="axisRow" showAll="0">
      <items count="5">
        <item x="2"/>
        <item x="1"/>
        <item x="0"/>
        <item sd="0" x="3"/>
        <item t="default"/>
      </items>
    </pivotField>
    <pivotField showAll="0"/>
    <pivotField showAll="0"/>
    <pivotField showAll="0"/>
    <pivotField showAll="0"/>
    <pivotField showAll="0"/>
    <pivotField showAll="0"/>
    <pivotField showAll="0"/>
    <pivotField showAll="0"/>
    <pivotField showAll="0"/>
    <pivotField showAll="0"/>
  </pivotFields>
  <rowFields count="2">
    <field x="8"/>
    <field x="0"/>
  </rowFields>
  <rowItems count="15">
    <i>
      <x/>
    </i>
    <i r="1">
      <x v="3"/>
    </i>
    <i r="1">
      <x v="6"/>
    </i>
    <i>
      <x v="1"/>
    </i>
    <i r="1">
      <x v="1"/>
    </i>
    <i r="1">
      <x v="5"/>
    </i>
    <i>
      <x v="2"/>
    </i>
    <i r="1">
      <x/>
    </i>
    <i r="1">
      <x v="2"/>
    </i>
    <i r="1">
      <x v="4"/>
    </i>
    <i r="1">
      <x v="7"/>
    </i>
    <i r="1">
      <x v="8"/>
    </i>
    <i r="1">
      <x v="9"/>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09542C-0353-4E9B-966A-DE141EACABCC}"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ayment">
  <location ref="K3:K18" firstHeaderRow="1" firstDataRow="1" firstDataCol="1"/>
  <pivotFields count="19">
    <pivotField axis="axisRow" showAll="0">
      <items count="12">
        <item x="0"/>
        <item x="1"/>
        <item x="2"/>
        <item x="3"/>
        <item x="4"/>
        <item x="5"/>
        <item x="6"/>
        <item x="7"/>
        <item x="8"/>
        <item x="10"/>
        <item x="9"/>
        <item t="default"/>
      </items>
    </pivotField>
    <pivotField showAll="0"/>
    <pivotField showAll="0">
      <items count="7">
        <item x="3"/>
        <item x="4"/>
        <item x="2"/>
        <item x="0"/>
        <item x="1"/>
        <item x="5"/>
        <item t="default"/>
      </items>
    </pivotField>
    <pivotField showAll="0"/>
    <pivotField showAll="0"/>
    <pivotField showAll="0"/>
    <pivotField showAll="0"/>
    <pivotField showAll="0"/>
    <pivotField axis="axisRow" showAll="0">
      <items count="5">
        <item x="2"/>
        <item x="1"/>
        <item x="0"/>
        <item sd="0" x="3"/>
        <item t="default"/>
      </items>
    </pivotField>
    <pivotField showAll="0"/>
    <pivotField showAll="0"/>
    <pivotField showAll="0"/>
    <pivotField showAll="0"/>
    <pivotField showAll="0"/>
    <pivotField showAll="0"/>
    <pivotField showAll="0"/>
    <pivotField showAll="0"/>
    <pivotField showAll="0"/>
    <pivotField showAll="0"/>
  </pivotFields>
  <rowFields count="2">
    <field x="8"/>
    <field x="0"/>
  </rowFields>
  <rowItems count="15">
    <i>
      <x/>
    </i>
    <i r="1">
      <x v="3"/>
    </i>
    <i r="1">
      <x v="6"/>
    </i>
    <i>
      <x v="1"/>
    </i>
    <i r="1">
      <x v="1"/>
    </i>
    <i r="1">
      <x v="5"/>
    </i>
    <i>
      <x v="2"/>
    </i>
    <i r="1">
      <x/>
    </i>
    <i r="1">
      <x v="2"/>
    </i>
    <i r="1">
      <x v="4"/>
    </i>
    <i r="1">
      <x v="7"/>
    </i>
    <i r="1">
      <x v="8"/>
    </i>
    <i r="1">
      <x v="9"/>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AA4E06-0945-4AF5-833D-6641D85662FE}"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G3:I10" firstHeaderRow="0" firstDataRow="1" firstDataCol="1"/>
  <pivotFields count="19">
    <pivotField showAll="0"/>
    <pivotField showAll="0"/>
    <pivotField axis="axisRow" showAll="0">
      <items count="7">
        <item x="3"/>
        <item x="4"/>
        <item x="2"/>
        <item x="0"/>
        <item x="1"/>
        <item x="5"/>
        <item t="default"/>
      </items>
    </pivotField>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revenue" fld="11" baseField="0" baseItem="0"/>
    <dataField name="Sum of quantity" fld="5"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91B89A-A20C-4CE7-B230-02E0ED35C6D2}"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D3:E8" firstHeaderRow="1" firstDataRow="1" firstDataCol="1"/>
  <pivotFields count="19">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revenue" fld="1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81096B-25C4-4CFD-BD54-907CF3B881BA}"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3:B7" firstHeaderRow="1" firstDataRow="1" firstDataCol="1"/>
  <pivotFields count="19">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revenue" fld="11" baseField="0" baseItem="0"/>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EB6592-847A-49F8-80F3-13D295ACD235}" name="Table1" displayName="Table1" ref="A3:S10" totalsRowShown="0">
  <autoFilter ref="A3:S10" xr:uid="{45EB6592-847A-49F8-80F3-13D295ACD235}"/>
  <tableColumns count="19">
    <tableColumn id="1" xr3:uid="{ABC38BA7-AD66-478F-B218-592E95825B74}" name="order_id"/>
    <tableColumn id="2" xr3:uid="{E329EC0D-A8C7-4F51-A16B-DD3AF87B4ED9}" name="customer"/>
    <tableColumn id="3" xr3:uid="{C5089C53-4D04-4CF1-907B-362BD0F92D33}" name="product"/>
    <tableColumn id="4" xr3:uid="{E6647940-DC34-4D6B-B4CD-2514057A6F62}" name="category"/>
    <tableColumn id="5" xr3:uid="{03806F4C-5603-4E58-8A5D-CDB41A9F5BF7}" name="price"/>
    <tableColumn id="6" xr3:uid="{E79AA4B5-3E3A-4A65-9DA4-8AE4F0852139}" name="quantity"/>
    <tableColumn id="7" xr3:uid="{17A5F593-CB61-437D-9A34-3A3DCC3EB58E}" name="order_date" dataDxfId="0"/>
    <tableColumn id="8" xr3:uid="{C8964D91-8CB8-4D93-9387-146ACD0B5FBC}" name="city"/>
    <tableColumn id="9" xr3:uid="{90BE7576-DDD2-4E57-BFCC-6D5B6C414AEC}" name="payment"/>
    <tableColumn id="10" xr3:uid="{D1EE37E7-E3AF-4586-83D9-C191FF5D0F11}" name="city_clean"/>
    <tableColumn id="11" xr3:uid="{2F30ED3D-41BA-4F34-8844-727FB9C2CC0C}" name="quality_flag"/>
    <tableColumn id="12" xr3:uid="{3852FBCE-8DD8-4029-A584-101A115E7F84}" name="revenue"/>
    <tableColumn id="13" xr3:uid="{A22C8B2E-8303-446D-B7C6-C8A940560C6B}" name="Field13"/>
    <tableColumn id="14" xr3:uid="{AFD76EDB-3643-49DA-AAAC-812C05C388EC}" name="jumlah transaksi"/>
    <tableColumn id="15" xr3:uid="{8C59A24D-F12B-464F-B1FA-FF04C7D79B02}" name="total revenue"/>
    <tableColumn id="16" xr3:uid="{5362EB5B-B62B-4416-A590-387EBF3D8A0F}" name="minimum quantity"/>
    <tableColumn id="17" xr3:uid="{17F5BD94-DFAD-46E1-A4A4-728044EE4C32}" name="maksimal quantity"/>
    <tableColumn id="18" xr3:uid="{0DDB1664-9058-4B0F-8C10-925C347D8050}" name="minimum price"/>
    <tableColumn id="19" xr3:uid="{F23ABCF6-FEEA-4076-AD92-9220FB91C297}" name="maksimal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F4730-EED2-4545-93CD-347CC2BEFC03}">
  <dimension ref="A1:I14"/>
  <sheetViews>
    <sheetView topLeftCell="A6" workbookViewId="0">
      <selection activeCell="D10" sqref="D10"/>
    </sheetView>
  </sheetViews>
  <sheetFormatPr defaultRowHeight="15" x14ac:dyDescent="0.25"/>
  <cols>
    <col min="1" max="1" width="8.5703125" bestFit="1" customWidth="1"/>
    <col min="2" max="2" width="9.28515625" bestFit="1" customWidth="1"/>
    <col min="3" max="3" width="8.28515625" bestFit="1" customWidth="1"/>
    <col min="4" max="4" width="9" bestFit="1" customWidth="1"/>
    <col min="5" max="5" width="8" bestFit="1" customWidth="1"/>
    <col min="6" max="6" width="8.42578125" bestFit="1" customWidth="1"/>
    <col min="7" max="7" width="10.7109375" bestFit="1" customWidth="1"/>
    <col min="8" max="8" width="9" bestFit="1" customWidth="1"/>
    <col min="9" max="9" width="8.85546875" bestFit="1" customWidth="1"/>
    <col min="10" max="10" width="9" bestFit="1" customWidth="1"/>
    <col min="11" max="11" width="8.85546875" bestFit="1" customWidth="1"/>
  </cols>
  <sheetData>
    <row r="1" spans="1:9" ht="30" x14ac:dyDescent="0.25">
      <c r="A1" s="2" t="s">
        <v>0</v>
      </c>
      <c r="B1" s="2" t="s">
        <v>1</v>
      </c>
      <c r="C1" s="2" t="s">
        <v>2</v>
      </c>
      <c r="D1" s="2" t="s">
        <v>3</v>
      </c>
      <c r="E1" s="4" t="s">
        <v>4</v>
      </c>
      <c r="F1" s="4" t="s">
        <v>5</v>
      </c>
      <c r="G1" s="2" t="s">
        <v>6</v>
      </c>
      <c r="H1" s="2" t="s">
        <v>7</v>
      </c>
      <c r="I1" s="2" t="s">
        <v>8</v>
      </c>
    </row>
    <row r="2" spans="1:9" ht="30" x14ac:dyDescent="0.25">
      <c r="A2" s="5" t="s">
        <v>9</v>
      </c>
      <c r="B2" s="5" t="s">
        <v>10</v>
      </c>
      <c r="C2" s="5" t="s">
        <v>11</v>
      </c>
      <c r="D2" s="5" t="s">
        <v>12</v>
      </c>
      <c r="E2" s="3">
        <v>8000000</v>
      </c>
      <c r="F2" s="3">
        <v>1</v>
      </c>
      <c r="G2" s="6">
        <v>46266</v>
      </c>
      <c r="H2" s="5" t="s">
        <v>13</v>
      </c>
      <c r="I2" s="5" t="s">
        <v>14</v>
      </c>
    </row>
    <row r="3" spans="1:9" ht="30" x14ac:dyDescent="0.25">
      <c r="A3" s="5" t="s">
        <v>15</v>
      </c>
      <c r="B3" s="5" t="s">
        <v>16</v>
      </c>
      <c r="C3" s="5" t="s">
        <v>17</v>
      </c>
      <c r="D3" s="5" t="s">
        <v>12</v>
      </c>
      <c r="E3" s="3">
        <v>250000</v>
      </c>
      <c r="F3" s="3">
        <v>2</v>
      </c>
      <c r="G3" s="6">
        <v>46266</v>
      </c>
      <c r="H3" s="5" t="s">
        <v>13</v>
      </c>
      <c r="I3" s="5" t="s">
        <v>18</v>
      </c>
    </row>
    <row r="4" spans="1:9" ht="30" x14ac:dyDescent="0.25">
      <c r="A4" s="5" t="s">
        <v>19</v>
      </c>
      <c r="B4" s="5" t="s">
        <v>20</v>
      </c>
      <c r="C4" s="5" t="s">
        <v>21</v>
      </c>
      <c r="D4" s="5" t="s">
        <v>12</v>
      </c>
      <c r="E4" s="3">
        <v>500000</v>
      </c>
      <c r="F4" s="3">
        <v>1</v>
      </c>
      <c r="G4" s="6">
        <v>46267</v>
      </c>
      <c r="H4" s="5" t="s">
        <v>22</v>
      </c>
      <c r="I4" s="5" t="s">
        <v>14</v>
      </c>
    </row>
    <row r="5" spans="1:9" ht="30" x14ac:dyDescent="0.25">
      <c r="A5" s="5" t="s">
        <v>23</v>
      </c>
      <c r="B5" s="5" t="s">
        <v>24</v>
      </c>
      <c r="C5" s="5" t="s">
        <v>25</v>
      </c>
      <c r="D5" s="5" t="s">
        <v>26</v>
      </c>
      <c r="E5" s="3">
        <v>1500000</v>
      </c>
      <c r="F5" s="3">
        <v>1</v>
      </c>
      <c r="G5" s="6">
        <v>46267</v>
      </c>
      <c r="H5" s="5" t="s">
        <v>27</v>
      </c>
      <c r="I5" s="5" t="s">
        <v>28</v>
      </c>
    </row>
    <row r="6" spans="1:9" ht="30" x14ac:dyDescent="0.25">
      <c r="A6" s="5" t="s">
        <v>29</v>
      </c>
      <c r="B6" s="5" t="s">
        <v>30</v>
      </c>
      <c r="C6" s="5" t="s">
        <v>31</v>
      </c>
      <c r="D6" s="5" t="s">
        <v>26</v>
      </c>
      <c r="E6" s="3">
        <v>2500000</v>
      </c>
      <c r="F6" s="3">
        <v>2</v>
      </c>
      <c r="G6" s="6">
        <v>46268</v>
      </c>
      <c r="H6" s="5" t="s">
        <v>22</v>
      </c>
      <c r="I6" s="5" t="s">
        <v>14</v>
      </c>
    </row>
    <row r="7" spans="1:9" ht="30" x14ac:dyDescent="0.25">
      <c r="A7" s="5" t="s">
        <v>32</v>
      </c>
      <c r="B7" s="5" t="s">
        <v>33</v>
      </c>
      <c r="C7" s="5" t="s">
        <v>17</v>
      </c>
      <c r="D7" s="5" t="s">
        <v>12</v>
      </c>
      <c r="E7" s="3">
        <v>250000</v>
      </c>
      <c r="F7" s="3">
        <v>1</v>
      </c>
      <c r="G7" s="6">
        <v>46268</v>
      </c>
      <c r="H7" s="5" t="s">
        <v>13</v>
      </c>
      <c r="I7" s="5" t="s">
        <v>18</v>
      </c>
    </row>
    <row r="8" spans="1:9" ht="30" x14ac:dyDescent="0.25">
      <c r="A8" s="5" t="s">
        <v>32</v>
      </c>
      <c r="B8" s="5" t="s">
        <v>33</v>
      </c>
      <c r="C8" s="5" t="s">
        <v>17</v>
      </c>
      <c r="D8" s="5" t="s">
        <v>12</v>
      </c>
      <c r="E8" s="3">
        <v>250000</v>
      </c>
      <c r="F8" s="3">
        <v>1</v>
      </c>
      <c r="G8" s="6">
        <v>46268</v>
      </c>
      <c r="H8" s="5" t="s">
        <v>13</v>
      </c>
      <c r="I8" s="5" t="s">
        <v>18</v>
      </c>
    </row>
    <row r="9" spans="1:9" ht="30" x14ac:dyDescent="0.25">
      <c r="A9" s="5" t="s">
        <v>34</v>
      </c>
      <c r="B9" s="5" t="s">
        <v>35</v>
      </c>
      <c r="C9" s="5" t="s">
        <v>25</v>
      </c>
      <c r="D9" s="5" t="s">
        <v>26</v>
      </c>
      <c r="E9" s="3">
        <v>1500000</v>
      </c>
      <c r="F9" s="3">
        <v>2</v>
      </c>
      <c r="G9" s="6">
        <v>46269</v>
      </c>
      <c r="H9" s="5" t="s">
        <v>36</v>
      </c>
      <c r="I9" s="5" t="s">
        <v>28</v>
      </c>
    </row>
    <row r="10" spans="1:9" ht="30" x14ac:dyDescent="0.25">
      <c r="A10" s="5" t="s">
        <v>37</v>
      </c>
      <c r="B10" s="5" t="s">
        <v>38</v>
      </c>
      <c r="C10" s="5" t="s">
        <v>11</v>
      </c>
      <c r="D10" s="5" t="s">
        <v>39</v>
      </c>
      <c r="E10" s="3">
        <v>8000000</v>
      </c>
      <c r="F10" s="3">
        <v>1</v>
      </c>
      <c r="G10" s="6">
        <v>46269</v>
      </c>
      <c r="H10" s="5" t="s">
        <v>27</v>
      </c>
      <c r="I10" s="5" t="s">
        <v>14</v>
      </c>
    </row>
    <row r="11" spans="1:9" ht="30" x14ac:dyDescent="0.25">
      <c r="A11" s="5" t="s">
        <v>40</v>
      </c>
      <c r="B11" s="5" t="s">
        <v>41</v>
      </c>
      <c r="C11" s="5" t="s">
        <v>31</v>
      </c>
      <c r="D11" s="5" t="s">
        <v>26</v>
      </c>
      <c r="E11" s="3">
        <v>2500000</v>
      </c>
      <c r="F11" s="3">
        <v>0</v>
      </c>
      <c r="G11" s="6">
        <v>46270</v>
      </c>
      <c r="H11" s="5" t="s">
        <v>22</v>
      </c>
      <c r="I11" s="5" t="s">
        <v>14</v>
      </c>
    </row>
    <row r="12" spans="1:9" ht="30" x14ac:dyDescent="0.25">
      <c r="A12" s="5" t="s">
        <v>42</v>
      </c>
      <c r="B12" s="5" t="s">
        <v>43</v>
      </c>
      <c r="C12" s="5" t="s">
        <v>17</v>
      </c>
      <c r="D12" s="5" t="s">
        <v>12</v>
      </c>
      <c r="E12" s="3">
        <v>250000</v>
      </c>
      <c r="F12" s="3"/>
      <c r="G12" s="6">
        <v>46270</v>
      </c>
      <c r="H12" s="5"/>
      <c r="I12" s="5" t="s">
        <v>18</v>
      </c>
    </row>
    <row r="13" spans="1:9" ht="30" x14ac:dyDescent="0.25">
      <c r="A13" s="5" t="s">
        <v>44</v>
      </c>
      <c r="B13" s="5" t="s">
        <v>45</v>
      </c>
      <c r="C13" s="5" t="s">
        <v>21</v>
      </c>
      <c r="D13" s="5" t="s">
        <v>12</v>
      </c>
      <c r="E13" s="3">
        <v>500000</v>
      </c>
      <c r="F13" s="3">
        <v>1</v>
      </c>
      <c r="G13" s="6">
        <v>46271</v>
      </c>
      <c r="H13" s="5" t="s">
        <v>13</v>
      </c>
      <c r="I13" s="5" t="s">
        <v>14</v>
      </c>
    </row>
    <row r="14" spans="1:9" ht="30" x14ac:dyDescent="0.25">
      <c r="A14" s="5" t="s">
        <v>46</v>
      </c>
      <c r="B14" s="5" t="s">
        <v>47</v>
      </c>
      <c r="C14" s="5" t="s">
        <v>25</v>
      </c>
      <c r="D14" s="5" t="s">
        <v>26</v>
      </c>
      <c r="E14" s="3">
        <v>1500000</v>
      </c>
      <c r="F14" s="3">
        <v>1</v>
      </c>
      <c r="G14" s="6">
        <v>46271</v>
      </c>
      <c r="H14" s="5" t="s">
        <v>27</v>
      </c>
      <c r="I14" s="5"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6419-6B76-4E9D-907D-EDB5BDB3DB95}">
  <dimension ref="A1:S10"/>
  <sheetViews>
    <sheetView topLeftCell="B1" workbookViewId="0">
      <selection activeCell="A3" sqref="A3:S10"/>
    </sheetView>
  </sheetViews>
  <sheetFormatPr defaultRowHeight="15" x14ac:dyDescent="0.25"/>
  <cols>
    <col min="1" max="1" width="10.85546875" bestFit="1" customWidth="1"/>
    <col min="2" max="2" width="11.5703125" bestFit="1" customWidth="1"/>
    <col min="3" max="3" width="10.140625" bestFit="1" customWidth="1"/>
    <col min="4" max="4" width="10.85546875" bestFit="1" customWidth="1"/>
    <col min="5" max="5" width="9.28515625" bestFit="1" customWidth="1"/>
    <col min="6" max="6" width="10.7109375" bestFit="1" customWidth="1"/>
    <col min="7" max="7" width="13.140625" bestFit="1" customWidth="1"/>
    <col min="8" max="8" width="9.28515625" bestFit="1" customWidth="1"/>
    <col min="9" max="9" width="11.140625" bestFit="1" customWidth="1"/>
    <col min="10" max="10" width="12.140625" bestFit="1" customWidth="1"/>
    <col min="11" max="11" width="13.7109375" bestFit="1" customWidth="1"/>
    <col min="12" max="12" width="10.7109375" bestFit="1" customWidth="1"/>
    <col min="13" max="13" width="9.7109375" bestFit="1" customWidth="1"/>
    <col min="14" max="14" width="17.85546875" bestFit="1" customWidth="1"/>
    <col min="15" max="15" width="15.42578125" bestFit="1" customWidth="1"/>
    <col min="16" max="16" width="20" bestFit="1" customWidth="1"/>
    <col min="17" max="17" width="19.85546875" bestFit="1" customWidth="1"/>
    <col min="18" max="18" width="16.85546875" bestFit="1" customWidth="1"/>
    <col min="19" max="19" width="16.7109375" bestFit="1" customWidth="1"/>
  </cols>
  <sheetData>
    <row r="1" spans="1:19" x14ac:dyDescent="0.25">
      <c r="A1" s="14" t="s">
        <v>79</v>
      </c>
    </row>
    <row r="3" spans="1:19" x14ac:dyDescent="0.25">
      <c r="A3" t="s">
        <v>0</v>
      </c>
      <c r="B3" t="s">
        <v>1</v>
      </c>
      <c r="C3" t="s">
        <v>2</v>
      </c>
      <c r="D3" t="s">
        <v>3</v>
      </c>
      <c r="E3" t="s">
        <v>4</v>
      </c>
      <c r="F3" t="s">
        <v>5</v>
      </c>
      <c r="G3" t="s">
        <v>6</v>
      </c>
      <c r="H3" t="s">
        <v>7</v>
      </c>
      <c r="I3" t="s">
        <v>8</v>
      </c>
      <c r="J3" t="s">
        <v>55</v>
      </c>
      <c r="K3" t="s">
        <v>56</v>
      </c>
      <c r="L3" t="s">
        <v>69</v>
      </c>
      <c r="M3" t="s">
        <v>77</v>
      </c>
      <c r="N3" t="s">
        <v>70</v>
      </c>
      <c r="O3" t="s">
        <v>71</v>
      </c>
      <c r="P3" t="s">
        <v>72</v>
      </c>
      <c r="Q3" t="s">
        <v>73</v>
      </c>
      <c r="R3" t="s">
        <v>74</v>
      </c>
      <c r="S3" t="s">
        <v>75</v>
      </c>
    </row>
    <row r="4" spans="1:19" x14ac:dyDescent="0.25">
      <c r="A4" t="s">
        <v>9</v>
      </c>
      <c r="B4" t="s">
        <v>10</v>
      </c>
      <c r="C4" t="s">
        <v>11</v>
      </c>
      <c r="D4" t="s">
        <v>12</v>
      </c>
      <c r="E4">
        <v>8000000</v>
      </c>
      <c r="F4">
        <v>1</v>
      </c>
      <c r="G4" s="13">
        <v>46266</v>
      </c>
      <c r="H4" t="s">
        <v>13</v>
      </c>
      <c r="I4" t="s">
        <v>14</v>
      </c>
      <c r="J4" t="s">
        <v>13</v>
      </c>
      <c r="K4" t="s">
        <v>78</v>
      </c>
      <c r="L4">
        <v>8000000</v>
      </c>
      <c r="N4">
        <v>12</v>
      </c>
      <c r="O4">
        <v>28750000</v>
      </c>
      <c r="P4">
        <v>0</v>
      </c>
      <c r="Q4">
        <v>2</v>
      </c>
      <c r="R4">
        <v>250000</v>
      </c>
      <c r="S4">
        <v>8000000</v>
      </c>
    </row>
    <row r="5" spans="1:19" x14ac:dyDescent="0.25">
      <c r="A5" t="s">
        <v>15</v>
      </c>
      <c r="B5" t="s">
        <v>16</v>
      </c>
      <c r="C5" t="s">
        <v>17</v>
      </c>
      <c r="D5" t="s">
        <v>12</v>
      </c>
      <c r="E5">
        <v>250000</v>
      </c>
      <c r="F5">
        <v>2</v>
      </c>
      <c r="G5" s="13">
        <v>46266</v>
      </c>
      <c r="H5" t="s">
        <v>13</v>
      </c>
      <c r="I5" t="s">
        <v>18</v>
      </c>
      <c r="J5" t="s">
        <v>13</v>
      </c>
      <c r="K5" t="s">
        <v>78</v>
      </c>
      <c r="L5">
        <v>500000</v>
      </c>
    </row>
    <row r="6" spans="1:19" x14ac:dyDescent="0.25">
      <c r="A6" t="s">
        <v>19</v>
      </c>
      <c r="B6" t="s">
        <v>20</v>
      </c>
      <c r="C6" t="s">
        <v>21</v>
      </c>
      <c r="D6" t="s">
        <v>12</v>
      </c>
      <c r="E6">
        <v>500000</v>
      </c>
      <c r="F6">
        <v>1</v>
      </c>
      <c r="G6" s="13">
        <v>46267</v>
      </c>
      <c r="H6" t="s">
        <v>22</v>
      </c>
      <c r="I6" t="s">
        <v>14</v>
      </c>
      <c r="J6" t="s">
        <v>22</v>
      </c>
      <c r="K6" t="s">
        <v>78</v>
      </c>
      <c r="L6">
        <v>500000</v>
      </c>
    </row>
    <row r="7" spans="1:19" x14ac:dyDescent="0.25">
      <c r="A7" t="s">
        <v>44</v>
      </c>
      <c r="B7" t="s">
        <v>45</v>
      </c>
      <c r="C7" t="s">
        <v>21</v>
      </c>
      <c r="D7" t="s">
        <v>12</v>
      </c>
      <c r="E7">
        <v>500000</v>
      </c>
      <c r="F7">
        <v>1</v>
      </c>
      <c r="G7" s="13">
        <v>46271</v>
      </c>
      <c r="H7" t="s">
        <v>13</v>
      </c>
      <c r="I7" t="s">
        <v>14</v>
      </c>
      <c r="J7" t="s">
        <v>13</v>
      </c>
      <c r="K7" t="s">
        <v>78</v>
      </c>
      <c r="L7">
        <v>500000</v>
      </c>
    </row>
    <row r="8" spans="1:19" x14ac:dyDescent="0.25">
      <c r="A8" t="s">
        <v>42</v>
      </c>
      <c r="B8" t="s">
        <v>43</v>
      </c>
      <c r="C8" t="s">
        <v>17</v>
      </c>
      <c r="D8" t="s">
        <v>12</v>
      </c>
      <c r="E8">
        <v>250000</v>
      </c>
      <c r="F8" t="s">
        <v>68</v>
      </c>
      <c r="G8" s="13">
        <v>46270</v>
      </c>
      <c r="H8" t="s">
        <v>68</v>
      </c>
      <c r="I8" t="s">
        <v>18</v>
      </c>
      <c r="J8" t="s">
        <v>68</v>
      </c>
      <c r="K8" t="s">
        <v>78</v>
      </c>
      <c r="L8" t="e">
        <v>#VALUE!</v>
      </c>
    </row>
    <row r="9" spans="1:19" x14ac:dyDescent="0.25">
      <c r="A9" t="s">
        <v>32</v>
      </c>
      <c r="B9" t="s">
        <v>33</v>
      </c>
      <c r="C9" t="s">
        <v>17</v>
      </c>
      <c r="D9" t="s">
        <v>12</v>
      </c>
      <c r="E9">
        <v>250000</v>
      </c>
      <c r="F9">
        <v>1</v>
      </c>
      <c r="G9" s="13">
        <v>46268</v>
      </c>
      <c r="H9" t="s">
        <v>13</v>
      </c>
      <c r="I9" t="s">
        <v>18</v>
      </c>
      <c r="J9" t="s">
        <v>13</v>
      </c>
      <c r="K9" t="s">
        <v>78</v>
      </c>
      <c r="L9">
        <v>250000</v>
      </c>
    </row>
    <row r="10" spans="1:19" x14ac:dyDescent="0.25">
      <c r="A10" t="s">
        <v>37</v>
      </c>
      <c r="B10" t="s">
        <v>38</v>
      </c>
      <c r="C10" t="s">
        <v>11</v>
      </c>
      <c r="D10" t="s">
        <v>12</v>
      </c>
      <c r="E10">
        <v>8000000</v>
      </c>
      <c r="F10">
        <v>1</v>
      </c>
      <c r="G10" s="13">
        <v>46269</v>
      </c>
      <c r="H10" t="s">
        <v>27</v>
      </c>
      <c r="I10" t="s">
        <v>14</v>
      </c>
      <c r="J10" t="s">
        <v>27</v>
      </c>
      <c r="K10" t="s">
        <v>78</v>
      </c>
      <c r="L10">
        <v>8000000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90381-BA0E-49B1-8302-A41E28B8959C}">
  <dimension ref="A3:M18"/>
  <sheetViews>
    <sheetView topLeftCell="F1" zoomScale="90" zoomScaleNormal="90" workbookViewId="0">
      <selection activeCell="H14" sqref="H14"/>
    </sheetView>
  </sheetViews>
  <sheetFormatPr defaultRowHeight="15" x14ac:dyDescent="0.25"/>
  <cols>
    <col min="1" max="1" width="13.140625" bestFit="1" customWidth="1"/>
    <col min="2" max="2" width="15.140625" bestFit="1" customWidth="1"/>
    <col min="4" max="4" width="13.140625" bestFit="1" customWidth="1"/>
    <col min="5" max="5" width="15.140625" bestFit="1" customWidth="1"/>
    <col min="7" max="7" width="13.140625" bestFit="1" customWidth="1"/>
    <col min="8" max="9" width="15.140625" bestFit="1" customWidth="1"/>
    <col min="11" max="11" width="12.7109375" bestFit="1" customWidth="1"/>
    <col min="12" max="13" width="15.140625" bestFit="1" customWidth="1"/>
  </cols>
  <sheetData>
    <row r="3" spans="1:13" x14ac:dyDescent="0.25">
      <c r="A3" s="9" t="s">
        <v>83</v>
      </c>
      <c r="B3" t="s">
        <v>81</v>
      </c>
      <c r="D3" s="9" t="s">
        <v>84</v>
      </c>
      <c r="E3" t="s">
        <v>81</v>
      </c>
      <c r="G3" s="9" t="s">
        <v>85</v>
      </c>
      <c r="H3" t="s">
        <v>81</v>
      </c>
      <c r="I3" t="s">
        <v>82</v>
      </c>
      <c r="K3" s="9" t="s">
        <v>86</v>
      </c>
      <c r="M3" s="9" t="s">
        <v>85</v>
      </c>
    </row>
    <row r="4" spans="1:13" x14ac:dyDescent="0.25">
      <c r="A4" s="10" t="s">
        <v>12</v>
      </c>
      <c r="B4" s="12">
        <v>17750000</v>
      </c>
      <c r="D4" s="10" t="s">
        <v>22</v>
      </c>
      <c r="E4" s="12">
        <v>5500000</v>
      </c>
      <c r="G4" s="10" t="s">
        <v>25</v>
      </c>
      <c r="H4" s="12">
        <v>4500000</v>
      </c>
      <c r="I4" s="12">
        <v>3</v>
      </c>
      <c r="K4" s="10" t="s">
        <v>28</v>
      </c>
      <c r="M4" s="10" t="s">
        <v>28</v>
      </c>
    </row>
    <row r="5" spans="1:13" x14ac:dyDescent="0.25">
      <c r="A5" s="10" t="s">
        <v>26</v>
      </c>
      <c r="B5" s="12">
        <v>9500000</v>
      </c>
      <c r="D5" s="10" t="s">
        <v>13</v>
      </c>
      <c r="E5" s="12">
        <v>12250000</v>
      </c>
      <c r="G5" s="10" t="s">
        <v>31</v>
      </c>
      <c r="H5" s="12">
        <v>5000000</v>
      </c>
      <c r="I5" s="12">
        <v>2</v>
      </c>
      <c r="K5" s="11" t="s">
        <v>23</v>
      </c>
      <c r="M5" s="11" t="s">
        <v>23</v>
      </c>
    </row>
    <row r="6" spans="1:13" x14ac:dyDescent="0.25">
      <c r="A6" s="10" t="s">
        <v>80</v>
      </c>
      <c r="B6" s="12"/>
      <c r="D6" s="10" t="s">
        <v>27</v>
      </c>
      <c r="E6" s="12">
        <v>9500000</v>
      </c>
      <c r="G6" s="10" t="s">
        <v>21</v>
      </c>
      <c r="H6" s="12">
        <v>1000000</v>
      </c>
      <c r="I6" s="12">
        <v>2</v>
      </c>
      <c r="K6" s="11" t="s">
        <v>34</v>
      </c>
      <c r="M6" s="11" t="s">
        <v>34</v>
      </c>
    </row>
    <row r="7" spans="1:13" x14ac:dyDescent="0.25">
      <c r="A7" s="10" t="s">
        <v>76</v>
      </c>
      <c r="B7" s="12">
        <v>27250000</v>
      </c>
      <c r="D7" s="10" t="s">
        <v>80</v>
      </c>
      <c r="E7" s="12"/>
      <c r="G7" s="10" t="s">
        <v>11</v>
      </c>
      <c r="H7" s="12">
        <v>16000000</v>
      </c>
      <c r="I7" s="12">
        <v>2</v>
      </c>
      <c r="K7" s="10" t="s">
        <v>18</v>
      </c>
      <c r="M7" s="10" t="s">
        <v>18</v>
      </c>
    </row>
    <row r="8" spans="1:13" x14ac:dyDescent="0.25">
      <c r="D8" s="10" t="s">
        <v>76</v>
      </c>
      <c r="E8" s="12">
        <v>27250000</v>
      </c>
      <c r="G8" s="10" t="s">
        <v>17</v>
      </c>
      <c r="H8" s="12">
        <v>750000</v>
      </c>
      <c r="I8" s="12">
        <v>3</v>
      </c>
      <c r="K8" s="11" t="s">
        <v>15</v>
      </c>
      <c r="M8" s="11" t="s">
        <v>15</v>
      </c>
    </row>
    <row r="9" spans="1:13" x14ac:dyDescent="0.25">
      <c r="G9" s="10" t="s">
        <v>80</v>
      </c>
      <c r="H9" s="12"/>
      <c r="I9" s="12"/>
      <c r="K9" s="11" t="s">
        <v>32</v>
      </c>
      <c r="M9" s="11" t="s">
        <v>32</v>
      </c>
    </row>
    <row r="10" spans="1:13" x14ac:dyDescent="0.25">
      <c r="G10" s="10" t="s">
        <v>76</v>
      </c>
      <c r="H10" s="12">
        <v>27250000</v>
      </c>
      <c r="I10" s="12">
        <v>12</v>
      </c>
      <c r="K10" s="10" t="s">
        <v>14</v>
      </c>
      <c r="M10" s="10" t="s">
        <v>14</v>
      </c>
    </row>
    <row r="11" spans="1:13" x14ac:dyDescent="0.25">
      <c r="K11" s="11" t="s">
        <v>9</v>
      </c>
      <c r="M11" s="11" t="s">
        <v>9</v>
      </c>
    </row>
    <row r="12" spans="1:13" x14ac:dyDescent="0.25">
      <c r="K12" s="11" t="s">
        <v>19</v>
      </c>
      <c r="M12" s="11" t="s">
        <v>19</v>
      </c>
    </row>
    <row r="13" spans="1:13" x14ac:dyDescent="0.25">
      <c r="K13" s="11" t="s">
        <v>29</v>
      </c>
      <c r="M13" s="11" t="s">
        <v>29</v>
      </c>
    </row>
    <row r="14" spans="1:13" x14ac:dyDescent="0.25">
      <c r="K14" s="11" t="s">
        <v>37</v>
      </c>
      <c r="M14" s="11" t="s">
        <v>37</v>
      </c>
    </row>
    <row r="15" spans="1:13" x14ac:dyDescent="0.25">
      <c r="K15" s="11" t="s">
        <v>40</v>
      </c>
      <c r="M15" s="11" t="s">
        <v>40</v>
      </c>
    </row>
    <row r="16" spans="1:13" x14ac:dyDescent="0.25">
      <c r="K16" s="11" t="s">
        <v>44</v>
      </c>
      <c r="M16" s="11" t="s">
        <v>44</v>
      </c>
    </row>
    <row r="17" spans="11:13" x14ac:dyDescent="0.25">
      <c r="K17" s="10" t="s">
        <v>80</v>
      </c>
      <c r="M17" s="10" t="s">
        <v>80</v>
      </c>
    </row>
    <row r="18" spans="11:13" x14ac:dyDescent="0.25">
      <c r="K18" s="10" t="s">
        <v>76</v>
      </c>
      <c r="M18" s="10" t="s">
        <v>76</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80459-233C-46D4-822A-5C70D9D6B1E7}">
  <dimension ref="A1:S13"/>
  <sheetViews>
    <sheetView tabSelected="1" workbookViewId="0">
      <selection activeCell="I7" sqref="I7"/>
    </sheetView>
  </sheetViews>
  <sheetFormatPr defaultRowHeight="15" x14ac:dyDescent="0.25"/>
  <cols>
    <col min="7" max="7" width="10.7109375" bestFit="1" customWidth="1"/>
  </cols>
  <sheetData>
    <row r="1" spans="1:19" ht="45" x14ac:dyDescent="0.25">
      <c r="A1" s="2" t="s">
        <v>0</v>
      </c>
      <c r="B1" s="2" t="s">
        <v>1</v>
      </c>
      <c r="C1" s="2" t="s">
        <v>2</v>
      </c>
      <c r="D1" s="2" t="s">
        <v>3</v>
      </c>
      <c r="E1" s="2" t="s">
        <v>4</v>
      </c>
      <c r="F1" s="2" t="s">
        <v>5</v>
      </c>
      <c r="G1" s="2" t="s">
        <v>6</v>
      </c>
      <c r="H1" s="2" t="s">
        <v>7</v>
      </c>
      <c r="I1" s="2" t="s">
        <v>8</v>
      </c>
      <c r="J1" s="2" t="s">
        <v>55</v>
      </c>
      <c r="K1" s="2" t="s">
        <v>56</v>
      </c>
      <c r="L1" s="2" t="s">
        <v>69</v>
      </c>
      <c r="N1" s="2" t="s">
        <v>70</v>
      </c>
      <c r="O1" s="2" t="s">
        <v>71</v>
      </c>
      <c r="P1" s="2" t="s">
        <v>72</v>
      </c>
      <c r="Q1" s="2" t="s">
        <v>73</v>
      </c>
      <c r="R1" s="2" t="s">
        <v>74</v>
      </c>
      <c r="S1" s="2" t="s">
        <v>75</v>
      </c>
    </row>
    <row r="2" spans="1:19" ht="30" x14ac:dyDescent="0.25">
      <c r="A2" s="1" t="s">
        <v>9</v>
      </c>
      <c r="B2" s="1" t="s">
        <v>10</v>
      </c>
      <c r="C2" s="1" t="s">
        <v>11</v>
      </c>
      <c r="D2" s="1" t="s">
        <v>12</v>
      </c>
      <c r="E2" s="1">
        <v>8000000</v>
      </c>
      <c r="F2" s="1">
        <v>1</v>
      </c>
      <c r="G2" s="7">
        <v>46266</v>
      </c>
      <c r="H2" s="1" t="s">
        <v>13</v>
      </c>
      <c r="I2" s="1" t="s">
        <v>14</v>
      </c>
      <c r="J2" s="8" t="str">
        <f t="shared" ref="J2:J13" si="0">PROPER(TRIM(H2))</f>
        <v>Jakarta</v>
      </c>
      <c r="K2" s="8" t="str">
        <f t="shared" ref="K2:K13" si="1">IF(AND(E2&gt;0,F2&gt;0),"Valid","Check")</f>
        <v>Valid</v>
      </c>
      <c r="L2">
        <f>E2*F2</f>
        <v>8000000</v>
      </c>
      <c r="N2">
        <f>SUM(COUNTA(A2:A13))</f>
        <v>11</v>
      </c>
      <c r="O2">
        <f>SUM(L2:L13)</f>
        <v>28750000</v>
      </c>
      <c r="P2">
        <f>MIN(F2:F13)</f>
        <v>0</v>
      </c>
      <c r="Q2">
        <f>MAX(F2:F13)</f>
        <v>2</v>
      </c>
      <c r="R2">
        <f>MIN(E2:E13)</f>
        <v>250000</v>
      </c>
      <c r="S2">
        <f>MAX(E2:E13)</f>
        <v>8000000</v>
      </c>
    </row>
    <row r="3" spans="1:19" ht="30" x14ac:dyDescent="0.25">
      <c r="A3" s="1" t="s">
        <v>15</v>
      </c>
      <c r="B3" s="1" t="s">
        <v>16</v>
      </c>
      <c r="C3" s="1" t="s">
        <v>17</v>
      </c>
      <c r="D3" s="1" t="s">
        <v>12</v>
      </c>
      <c r="E3" s="1">
        <v>250000</v>
      </c>
      <c r="F3" s="1">
        <v>2</v>
      </c>
      <c r="G3" s="7">
        <v>46266</v>
      </c>
      <c r="H3" s="1" t="s">
        <v>13</v>
      </c>
      <c r="I3" s="1" t="s">
        <v>18</v>
      </c>
      <c r="J3" s="8" t="str">
        <f t="shared" si="0"/>
        <v>Jakarta</v>
      </c>
      <c r="K3" s="8" t="str">
        <f t="shared" si="1"/>
        <v>Valid</v>
      </c>
      <c r="L3">
        <f t="shared" ref="L3:L13" si="2">E3*F3</f>
        <v>500000</v>
      </c>
    </row>
    <row r="4" spans="1:19" ht="30" x14ac:dyDescent="0.25">
      <c r="A4" s="1" t="s">
        <v>19</v>
      </c>
      <c r="B4" s="1" t="s">
        <v>20</v>
      </c>
      <c r="C4" s="1" t="s">
        <v>21</v>
      </c>
      <c r="D4" s="1" t="s">
        <v>12</v>
      </c>
      <c r="E4" s="1">
        <v>500000</v>
      </c>
      <c r="F4" s="1">
        <v>1</v>
      </c>
      <c r="G4" s="7">
        <v>46267</v>
      </c>
      <c r="H4" s="1" t="s">
        <v>22</v>
      </c>
      <c r="I4" s="1" t="s">
        <v>14</v>
      </c>
      <c r="J4" s="8" t="str">
        <f t="shared" si="0"/>
        <v>Bandung</v>
      </c>
      <c r="K4" s="8" t="str">
        <f t="shared" si="1"/>
        <v>Valid</v>
      </c>
      <c r="L4">
        <f t="shared" si="2"/>
        <v>500000</v>
      </c>
    </row>
    <row r="5" spans="1:19" ht="30" x14ac:dyDescent="0.25">
      <c r="A5" s="1" t="s">
        <v>23</v>
      </c>
      <c r="B5" s="1" t="s">
        <v>24</v>
      </c>
      <c r="C5" s="1" t="s">
        <v>25</v>
      </c>
      <c r="D5" s="1" t="s">
        <v>26</v>
      </c>
      <c r="E5" s="1">
        <v>1500000</v>
      </c>
      <c r="F5" s="1">
        <v>1</v>
      </c>
      <c r="G5" s="7">
        <v>46267</v>
      </c>
      <c r="H5" s="1" t="s">
        <v>27</v>
      </c>
      <c r="I5" s="1" t="s">
        <v>28</v>
      </c>
      <c r="J5" s="8" t="str">
        <f t="shared" si="0"/>
        <v>Surabaya</v>
      </c>
      <c r="K5" s="8" t="str">
        <f t="shared" si="1"/>
        <v>Valid</v>
      </c>
      <c r="L5">
        <f t="shared" si="2"/>
        <v>1500000</v>
      </c>
    </row>
    <row r="6" spans="1:19" ht="30" x14ac:dyDescent="0.25">
      <c r="A6" s="1" t="s">
        <v>29</v>
      </c>
      <c r="B6" s="1" t="s">
        <v>30</v>
      </c>
      <c r="C6" s="1" t="s">
        <v>31</v>
      </c>
      <c r="D6" s="1" t="s">
        <v>26</v>
      </c>
      <c r="E6" s="1">
        <v>2500000</v>
      </c>
      <c r="F6" s="1">
        <v>2</v>
      </c>
      <c r="G6" s="7">
        <v>46268</v>
      </c>
      <c r="H6" s="1" t="s">
        <v>22</v>
      </c>
      <c r="I6" s="1" t="s">
        <v>14</v>
      </c>
      <c r="J6" s="8" t="str">
        <f t="shared" si="0"/>
        <v>Bandung</v>
      </c>
      <c r="K6" s="8" t="str">
        <f t="shared" si="1"/>
        <v>Valid</v>
      </c>
      <c r="L6">
        <f t="shared" si="2"/>
        <v>5000000</v>
      </c>
    </row>
    <row r="7" spans="1:19" ht="30" x14ac:dyDescent="0.25">
      <c r="A7" s="1" t="s">
        <v>32</v>
      </c>
      <c r="B7" s="1" t="s">
        <v>33</v>
      </c>
      <c r="C7" s="1" t="s">
        <v>17</v>
      </c>
      <c r="D7" s="1" t="s">
        <v>12</v>
      </c>
      <c r="E7" s="1">
        <v>250000</v>
      </c>
      <c r="F7" s="1">
        <v>1</v>
      </c>
      <c r="G7" s="7">
        <v>46268</v>
      </c>
      <c r="H7" s="1" t="s">
        <v>13</v>
      </c>
      <c r="I7" s="1" t="s">
        <v>18</v>
      </c>
      <c r="J7" s="8" t="str">
        <f t="shared" si="0"/>
        <v>Jakarta</v>
      </c>
      <c r="K7" s="8" t="str">
        <f t="shared" si="1"/>
        <v>Valid</v>
      </c>
      <c r="L7">
        <f t="shared" si="2"/>
        <v>250000</v>
      </c>
    </row>
    <row r="8" spans="1:19" ht="30" x14ac:dyDescent="0.25">
      <c r="A8" s="1" t="s">
        <v>34</v>
      </c>
      <c r="B8" s="1" t="s">
        <v>35</v>
      </c>
      <c r="C8" s="1" t="s">
        <v>25</v>
      </c>
      <c r="D8" s="1" t="s">
        <v>26</v>
      </c>
      <c r="E8" s="1">
        <v>1500000</v>
      </c>
      <c r="F8" s="1">
        <v>2</v>
      </c>
      <c r="G8" s="7">
        <v>46269</v>
      </c>
      <c r="H8" s="1" t="s">
        <v>36</v>
      </c>
      <c r="I8" s="1" t="s">
        <v>28</v>
      </c>
      <c r="J8" s="8" t="str">
        <f t="shared" si="0"/>
        <v>Jakarta</v>
      </c>
      <c r="K8" s="8" t="str">
        <f t="shared" si="1"/>
        <v>Valid</v>
      </c>
      <c r="L8">
        <f t="shared" si="2"/>
        <v>3000000</v>
      </c>
    </row>
    <row r="9" spans="1:19" ht="30" x14ac:dyDescent="0.25">
      <c r="A9" s="1" t="s">
        <v>37</v>
      </c>
      <c r="B9" s="1" t="s">
        <v>38</v>
      </c>
      <c r="C9" s="1" t="s">
        <v>11</v>
      </c>
      <c r="D9" s="1" t="str">
        <f>PROPER(D2)</f>
        <v>Electronics</v>
      </c>
      <c r="E9" s="1">
        <v>8000000</v>
      </c>
      <c r="F9" s="1">
        <v>1</v>
      </c>
      <c r="G9" s="7">
        <v>46269</v>
      </c>
      <c r="H9" s="1" t="s">
        <v>27</v>
      </c>
      <c r="I9" s="1" t="s">
        <v>14</v>
      </c>
      <c r="J9" s="8" t="str">
        <f t="shared" si="0"/>
        <v>Surabaya</v>
      </c>
      <c r="K9" s="8" t="str">
        <f t="shared" si="1"/>
        <v>Valid</v>
      </c>
      <c r="L9">
        <f t="shared" si="2"/>
        <v>8000000</v>
      </c>
    </row>
    <row r="10" spans="1:19" ht="30" x14ac:dyDescent="0.25">
      <c r="A10" s="1" t="s">
        <v>40</v>
      </c>
      <c r="B10" s="1" t="s">
        <v>41</v>
      </c>
      <c r="C10" s="1" t="s">
        <v>31</v>
      </c>
      <c r="D10" s="1" t="s">
        <v>26</v>
      </c>
      <c r="E10" s="1">
        <v>2500000</v>
      </c>
      <c r="F10" s="1">
        <v>0</v>
      </c>
      <c r="G10" s="7">
        <v>46270</v>
      </c>
      <c r="H10" s="1" t="s">
        <v>22</v>
      </c>
      <c r="I10" s="1" t="s">
        <v>14</v>
      </c>
      <c r="J10" s="8" t="str">
        <f t="shared" si="0"/>
        <v>Bandung</v>
      </c>
      <c r="K10" s="8" t="str">
        <f t="shared" si="1"/>
        <v>Check</v>
      </c>
      <c r="L10">
        <f t="shared" si="2"/>
        <v>0</v>
      </c>
    </row>
    <row r="11" spans="1:19" x14ac:dyDescent="0.25">
      <c r="A11" s="1"/>
      <c r="B11" s="1"/>
      <c r="C11" s="1"/>
      <c r="D11" s="1"/>
      <c r="E11" s="1"/>
      <c r="F11" s="1"/>
      <c r="G11" s="7"/>
      <c r="H11" s="1"/>
      <c r="I11" s="1"/>
      <c r="J11" s="8"/>
      <c r="K11" s="8"/>
    </row>
    <row r="12" spans="1:19" ht="30" x14ac:dyDescent="0.25">
      <c r="A12" s="1" t="s">
        <v>44</v>
      </c>
      <c r="B12" s="1" t="s">
        <v>45</v>
      </c>
      <c r="C12" s="1" t="s">
        <v>21</v>
      </c>
      <c r="D12" s="1" t="s">
        <v>12</v>
      </c>
      <c r="E12" s="1">
        <v>500000</v>
      </c>
      <c r="F12" s="1">
        <v>1</v>
      </c>
      <c r="G12" s="7">
        <v>46271</v>
      </c>
      <c r="H12" s="1" t="s">
        <v>13</v>
      </c>
      <c r="I12" s="1" t="s">
        <v>14</v>
      </c>
      <c r="J12" s="8" t="str">
        <f t="shared" si="0"/>
        <v>Jakarta</v>
      </c>
      <c r="K12" s="8" t="str">
        <f t="shared" si="1"/>
        <v>Valid</v>
      </c>
      <c r="L12">
        <f t="shared" si="2"/>
        <v>500000</v>
      </c>
    </row>
    <row r="13" spans="1:19" ht="30" x14ac:dyDescent="0.25">
      <c r="A13" s="1" t="s">
        <v>46</v>
      </c>
      <c r="B13" s="1" t="s">
        <v>47</v>
      </c>
      <c r="C13" s="1" t="s">
        <v>25</v>
      </c>
      <c r="D13" s="1" t="s">
        <v>26</v>
      </c>
      <c r="E13" s="1">
        <v>1500000</v>
      </c>
      <c r="F13" s="1">
        <v>1</v>
      </c>
      <c r="G13" s="7">
        <v>46271</v>
      </c>
      <c r="H13" s="1" t="s">
        <v>27</v>
      </c>
      <c r="I13" s="1" t="s">
        <v>14</v>
      </c>
      <c r="J13" s="8" t="str">
        <f t="shared" si="0"/>
        <v>Surabaya</v>
      </c>
      <c r="K13" s="8" t="str">
        <f t="shared" si="1"/>
        <v>Valid</v>
      </c>
      <c r="L13">
        <f t="shared" si="2"/>
        <v>1500000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A07F8-E89B-4EB3-AD49-64438638B77C}">
  <dimension ref="A1:F9"/>
  <sheetViews>
    <sheetView workbookViewId="0">
      <selection activeCell="D3" sqref="D3"/>
    </sheetView>
  </sheetViews>
  <sheetFormatPr defaultRowHeight="15" x14ac:dyDescent="0.25"/>
  <cols>
    <col min="1" max="1" width="9" bestFit="1" customWidth="1"/>
    <col min="2" max="2" width="13.5703125" customWidth="1"/>
    <col min="3" max="3" width="21.140625" customWidth="1"/>
    <col min="4" max="4" width="42.85546875" customWidth="1"/>
    <col min="6" max="6" width="48.5703125" customWidth="1"/>
  </cols>
  <sheetData>
    <row r="1" spans="1:6" ht="30" x14ac:dyDescent="0.25">
      <c r="A1" s="2" t="s">
        <v>48</v>
      </c>
      <c r="B1" s="2" t="s">
        <v>49</v>
      </c>
      <c r="C1" s="2" t="s">
        <v>50</v>
      </c>
      <c r="D1" s="2" t="s">
        <v>51</v>
      </c>
      <c r="F1" s="2" t="s">
        <v>65</v>
      </c>
    </row>
    <row r="2" spans="1:6" ht="150" x14ac:dyDescent="0.25">
      <c r="A2" s="5" t="s">
        <v>0</v>
      </c>
      <c r="B2" s="5" t="s">
        <v>58</v>
      </c>
      <c r="C2" s="5" t="s">
        <v>57</v>
      </c>
      <c r="D2" s="5" t="s">
        <v>67</v>
      </c>
      <c r="F2" s="1" t="s">
        <v>66</v>
      </c>
    </row>
    <row r="3" spans="1:6" ht="30" x14ac:dyDescent="0.25">
      <c r="A3" s="5" t="s">
        <v>1</v>
      </c>
      <c r="B3" s="5" t="s">
        <v>52</v>
      </c>
      <c r="C3" s="5" t="s">
        <v>52</v>
      </c>
      <c r="D3" s="5" t="s">
        <v>52</v>
      </c>
    </row>
    <row r="4" spans="1:6" x14ac:dyDescent="0.25">
      <c r="A4" s="5" t="s">
        <v>3</v>
      </c>
      <c r="B4" s="5" t="s">
        <v>53</v>
      </c>
      <c r="C4" s="5" t="s">
        <v>39</v>
      </c>
      <c r="D4" s="5" t="s">
        <v>54</v>
      </c>
    </row>
    <row r="5" spans="1:6" x14ac:dyDescent="0.25">
      <c r="A5" s="5" t="s">
        <v>4</v>
      </c>
      <c r="B5" s="5" t="s">
        <v>52</v>
      </c>
      <c r="C5" s="5" t="s">
        <v>52</v>
      </c>
      <c r="D5" s="5" t="s">
        <v>52</v>
      </c>
    </row>
    <row r="6" spans="1:6" ht="45" x14ac:dyDescent="0.25">
      <c r="A6" s="5" t="s">
        <v>5</v>
      </c>
      <c r="B6" s="5" t="s">
        <v>59</v>
      </c>
      <c r="C6" s="5" t="s">
        <v>60</v>
      </c>
      <c r="D6" s="5" t="s">
        <v>61</v>
      </c>
    </row>
    <row r="7" spans="1:6" ht="30" x14ac:dyDescent="0.25">
      <c r="A7" s="5" t="s">
        <v>6</v>
      </c>
      <c r="B7" s="5" t="s">
        <v>52</v>
      </c>
      <c r="C7" s="5" t="s">
        <v>52</v>
      </c>
      <c r="D7" s="5" t="s">
        <v>52</v>
      </c>
    </row>
    <row r="8" spans="1:6" ht="60" x14ac:dyDescent="0.25">
      <c r="A8" s="5" t="s">
        <v>7</v>
      </c>
      <c r="B8" s="5" t="s">
        <v>62</v>
      </c>
      <c r="C8" s="5" t="s">
        <v>63</v>
      </c>
      <c r="D8" s="5" t="s">
        <v>64</v>
      </c>
    </row>
    <row r="9" spans="1:6" x14ac:dyDescent="0.25">
      <c r="A9" s="5" t="s">
        <v>8</v>
      </c>
      <c r="B9" s="5" t="s">
        <v>52</v>
      </c>
      <c r="C9" s="5" t="s">
        <v>52</v>
      </c>
      <c r="D9" s="5"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Detail1</vt:lpstr>
      <vt:lpstr>Sheet5</vt:lpstr>
      <vt:lpstr>clean_data</vt:lpstr>
      <vt:lpstr>data_quality_notes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 Rachmat</dc:creator>
  <cp:lastModifiedBy>Mar'i Rachmat</cp:lastModifiedBy>
  <dcterms:created xsi:type="dcterms:W3CDTF">2026-10-01T18:08:53Z</dcterms:created>
  <dcterms:modified xsi:type="dcterms:W3CDTF">2026-10-05T15:50:41Z</dcterms:modified>
</cp:coreProperties>
</file>