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2ba69629624744/Documents/Bagus/data-analyst/WEEK 1/"/>
    </mc:Choice>
  </mc:AlternateContent>
  <xr:revisionPtr revIDLastSave="2" documentId="8_{59948581-97A7-4468-B0F1-50B0E5FD6B0E}" xr6:coauthVersionLast="47" xr6:coauthVersionMax="47" xr10:uidLastSave="{19B9425D-EDA2-4EAD-B2D7-8E693245A2EB}"/>
  <bookViews>
    <workbookView xWindow="-120" yWindow="-120" windowWidth="20730" windowHeight="11760" xr2:uid="{5DCC4CC1-E9B9-43E6-89E7-2B2A630FF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  <c r="A16" i="1"/>
  <c r="A15" i="1"/>
  <c r="A14" i="1"/>
  <c r="A13" i="1"/>
  <c r="A12" i="1"/>
  <c r="L8" i="1"/>
  <c r="L10" i="1"/>
  <c r="I2" i="1"/>
  <c r="L9" i="1"/>
  <c r="L7" i="1"/>
  <c r="L6" i="1"/>
  <c r="L5" i="1"/>
  <c r="L4" i="1"/>
  <c r="L3" i="1"/>
  <c r="L2" i="1"/>
  <c r="I3" i="1"/>
  <c r="I4" i="1"/>
  <c r="I5" i="1"/>
  <c r="I6" i="1"/>
  <c r="I7" i="1"/>
  <c r="I8" i="1"/>
  <c r="I9" i="1"/>
</calcChain>
</file>

<file path=xl/sharedStrings.xml><?xml version="1.0" encoding="utf-8"?>
<sst xmlns="http://schemas.openxmlformats.org/spreadsheetml/2006/main" count="67" uniqueCount="48">
  <si>
    <t>order_id</t>
  </si>
  <si>
    <t>customer</t>
  </si>
  <si>
    <t>product</t>
  </si>
  <si>
    <t>category</t>
  </si>
  <si>
    <t>price</t>
  </si>
  <si>
    <t>quantity</t>
  </si>
  <si>
    <t>city</t>
  </si>
  <si>
    <t>payment</t>
  </si>
  <si>
    <t>O001</t>
  </si>
  <si>
    <t>Andi</t>
  </si>
  <si>
    <t>Laptop</t>
  </si>
  <si>
    <t>Electronics</t>
  </si>
  <si>
    <t>Jakarta</t>
  </si>
  <si>
    <t>Transfer</t>
  </si>
  <si>
    <t>O002</t>
  </si>
  <si>
    <t>Budi</t>
  </si>
  <si>
    <t>Mouse</t>
  </si>
  <si>
    <t>Bandung</t>
  </si>
  <si>
    <t>E-Wallet</t>
  </si>
  <si>
    <t>O003</t>
  </si>
  <si>
    <t>Citra</t>
  </si>
  <si>
    <t>Keyboard</t>
  </si>
  <si>
    <t>O004</t>
  </si>
  <si>
    <t>Deni</t>
  </si>
  <si>
    <t>Chair</t>
  </si>
  <si>
    <t>Furniture</t>
  </si>
  <si>
    <t>Surabaya</t>
  </si>
  <si>
    <t>Credit Card</t>
  </si>
  <si>
    <t>O005</t>
  </si>
  <si>
    <t>Eka</t>
  </si>
  <si>
    <t>Desk</t>
  </si>
  <si>
    <t>O006</t>
  </si>
  <si>
    <t>Fajar</t>
  </si>
  <si>
    <t>O007</t>
  </si>
  <si>
    <t>Gina</t>
  </si>
  <si>
    <t>O008</t>
  </si>
  <si>
    <t>Hadi</t>
  </si>
  <si>
    <t>revenue</t>
  </si>
  <si>
    <t>SUM =  TOTAL</t>
  </si>
  <si>
    <t>AVERAGE = RATA RATA</t>
  </si>
  <si>
    <t>COUNT = MENGHITUNG BARIS YANG BERISI NILAI NUMERIK</t>
  </si>
  <si>
    <t>COUNTA = MENGHITUNG BARIS YANG ADA ISI NYA/NOT NULL</t>
  </si>
  <si>
    <t>MIN = HARGA PALING TERENDAH</t>
  </si>
  <si>
    <t>MAX = HARGA TERTINGGI</t>
  </si>
  <si>
    <t>COUNTIF = MENGHITUNG DATA YANG MEMENUHI KONDISI</t>
  </si>
  <si>
    <t>SUMIF = KITA MENJUMLAHKAN SUATU NILAI DENGAN KONDISI</t>
  </si>
  <si>
    <t>REVENUE JAKARTA</t>
  </si>
  <si>
    <t>AVERAGEIF = KITA MEMBUAT RATARATA DENGAN KONDISI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</si>
</sst>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1"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3CF99-8E5A-47AA-96AF-DE0CFF7A5089}" name="SalesData" displayName="SalesData" ref="A1:I9" totalsRowShown="0" headerRowDxfId="10" dataDxfId="9">
  <autoFilter ref="A1:I9" xr:uid="{BC73CF99-8E5A-47AA-96AF-DE0CFF7A5089}"/>
  <sortState xmlns:xlrd2="http://schemas.microsoft.com/office/spreadsheetml/2017/richdata2" ref="A2:H9">
    <sortCondition ref="A1:A9"/>
  </sortState>
  <tableColumns count="9">
    <tableColumn id="1" xr3:uid="{1584682B-3D6A-480F-8A2A-5E4EC854FEA1}" name="order_id" dataDxfId="8"/>
    <tableColumn id="2" xr3:uid="{2AB7C435-054C-4596-B7CB-EBCC6F67308B}" name="customer" dataDxfId="7"/>
    <tableColumn id="3" xr3:uid="{5B27054E-DDFB-420F-9D7C-D8A1C853BC20}" name="product" dataDxfId="6"/>
    <tableColumn id="4" xr3:uid="{2A999994-BCB3-4476-BA14-D6C8B99093F0}" name="category" dataDxfId="5"/>
    <tableColumn id="5" xr3:uid="{BCEF9A8A-345A-421A-B760-28F934A9F7BD}" name="price" dataDxfId="4"/>
    <tableColumn id="6" xr3:uid="{4AEAEF10-F1A4-431B-89CD-137DE9F13D9E}" name="quantity" dataDxfId="3"/>
    <tableColumn id="7" xr3:uid="{AAE71BCE-0CAC-4157-83F7-C7BEC7064CC5}" name="city" dataDxfId="2"/>
    <tableColumn id="8" xr3:uid="{7786B45B-8F34-471D-A75C-50C85AA9F9D5}" name="payment" dataDxfId="1"/>
    <tableColumn id="9" xr3:uid="{58F71E62-C0DA-4050-9BF3-01C1A30470E9}" name="revenue" dataDxfId="0">
      <calculatedColumnFormula>SalesData[[#This Row],[price]]*SalesData[[#This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288C-0F2B-4D76-B11C-41306CFAF169}">
  <dimension ref="A1:M20"/>
  <sheetViews>
    <sheetView tabSelected="1" workbookViewId="0">
      <selection activeCell="A20" sqref="A20"/>
    </sheetView>
  </sheetViews>
  <sheetFormatPr defaultRowHeight="15" x14ac:dyDescent="0.25"/>
  <cols>
    <col min="1" max="1" width="10.7109375" customWidth="1"/>
    <col min="2" max="2" width="11.42578125" customWidth="1"/>
    <col min="3" max="3" width="10" customWidth="1"/>
    <col min="4" max="4" width="10.7109375" customWidth="1"/>
    <col min="5" max="5" width="10" bestFit="1" customWidth="1"/>
    <col min="6" max="6" width="13" bestFit="1" customWidth="1"/>
    <col min="7" max="7" width="9" bestFit="1" customWidth="1"/>
    <col min="8" max="8" width="11" customWidth="1"/>
    <col min="11" max="11" width="55.85546875" bestFit="1" customWidth="1"/>
    <col min="12" max="12" width="9" bestFit="1" customWidth="1"/>
    <col min="13" max="13" width="17.71093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37</v>
      </c>
    </row>
    <row r="2" spans="1:13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8000000</v>
      </c>
      <c r="F2" s="1">
        <v>1</v>
      </c>
      <c r="G2" s="1" t="s">
        <v>12</v>
      </c>
      <c r="H2" s="1" t="s">
        <v>13</v>
      </c>
      <c r="I2" s="1">
        <f>SalesData[[#This Row],[price]]*SalesData[[#This Row],[quantity]]</f>
        <v>8000000</v>
      </c>
      <c r="K2" t="s">
        <v>38</v>
      </c>
      <c r="L2">
        <f>SUM(SalesData[[#This Row],[revenue]]:I9)</f>
        <v>26750000</v>
      </c>
    </row>
    <row r="3" spans="1:13" x14ac:dyDescent="0.25">
      <c r="A3" s="1" t="s">
        <v>14</v>
      </c>
      <c r="B3" s="1" t="s">
        <v>15</v>
      </c>
      <c r="C3" s="1" t="s">
        <v>16</v>
      </c>
      <c r="D3" s="1" t="s">
        <v>11</v>
      </c>
      <c r="E3" s="1">
        <v>250000</v>
      </c>
      <c r="F3" s="1">
        <v>2</v>
      </c>
      <c r="G3" s="1" t="s">
        <v>17</v>
      </c>
      <c r="H3" s="1" t="s">
        <v>18</v>
      </c>
      <c r="I3" s="1">
        <f>SalesData[[#This Row],[price]]*SalesData[[#This Row],[quantity]]</f>
        <v>500000</v>
      </c>
      <c r="K3" t="s">
        <v>39</v>
      </c>
      <c r="L3">
        <f>AVERAGE(I2:I9)</f>
        <v>3343750</v>
      </c>
    </row>
    <row r="4" spans="1:13" x14ac:dyDescent="0.25">
      <c r="A4" s="1" t="s">
        <v>19</v>
      </c>
      <c r="B4" s="1" t="s">
        <v>20</v>
      </c>
      <c r="C4" s="1" t="s">
        <v>21</v>
      </c>
      <c r="D4" s="1" t="s">
        <v>11</v>
      </c>
      <c r="E4" s="1">
        <v>500000</v>
      </c>
      <c r="F4" s="1">
        <v>1</v>
      </c>
      <c r="G4" s="1" t="s">
        <v>12</v>
      </c>
      <c r="H4" s="1" t="s">
        <v>13</v>
      </c>
      <c r="I4" s="1">
        <f>SalesData[[#This Row],[price]]*SalesData[[#This Row],[quantity]]</f>
        <v>500000</v>
      </c>
      <c r="K4" t="s">
        <v>40</v>
      </c>
      <c r="L4">
        <f>COUNT(SalesData[price])</f>
        <v>8</v>
      </c>
    </row>
    <row r="5" spans="1:13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1500000</v>
      </c>
      <c r="F5" s="1">
        <v>1</v>
      </c>
      <c r="G5" s="1" t="s">
        <v>26</v>
      </c>
      <c r="H5" s="1" t="s">
        <v>27</v>
      </c>
      <c r="I5" s="1">
        <f>SalesData[[#This Row],[price]]*SalesData[[#This Row],[quantity]]</f>
        <v>1500000</v>
      </c>
      <c r="K5" t="s">
        <v>41</v>
      </c>
      <c r="L5">
        <f>COUNTA(SalesData[price])</f>
        <v>8</v>
      </c>
    </row>
    <row r="6" spans="1:13" x14ac:dyDescent="0.25">
      <c r="A6" s="1" t="s">
        <v>28</v>
      </c>
      <c r="B6" s="1" t="s">
        <v>29</v>
      </c>
      <c r="C6" s="1" t="s">
        <v>30</v>
      </c>
      <c r="D6" s="1" t="s">
        <v>25</v>
      </c>
      <c r="E6" s="1">
        <v>2500000</v>
      </c>
      <c r="F6" s="1">
        <v>2</v>
      </c>
      <c r="G6" s="1" t="s">
        <v>17</v>
      </c>
      <c r="H6" s="1" t="s">
        <v>13</v>
      </c>
      <c r="I6" s="1">
        <f>SalesData[[#This Row],[price]]*SalesData[[#This Row],[quantity]]</f>
        <v>5000000</v>
      </c>
      <c r="K6" t="s">
        <v>42</v>
      </c>
      <c r="L6">
        <f>MIN(SalesData[price])</f>
        <v>250000</v>
      </c>
    </row>
    <row r="7" spans="1:13" x14ac:dyDescent="0.25">
      <c r="A7" s="1" t="s">
        <v>31</v>
      </c>
      <c r="B7" s="1" t="s">
        <v>32</v>
      </c>
      <c r="C7" s="1" t="s">
        <v>16</v>
      </c>
      <c r="D7" s="1" t="s">
        <v>11</v>
      </c>
      <c r="E7" s="1">
        <v>250000</v>
      </c>
      <c r="F7" s="1">
        <v>1</v>
      </c>
      <c r="G7" s="1" t="s">
        <v>12</v>
      </c>
      <c r="H7" s="1" t="s">
        <v>18</v>
      </c>
      <c r="I7" s="1">
        <f>SalesData[[#This Row],[price]]*SalesData[[#This Row],[quantity]]</f>
        <v>250000</v>
      </c>
      <c r="K7" t="s">
        <v>43</v>
      </c>
      <c r="L7">
        <f>MAX(SalesData[price])</f>
        <v>8000000</v>
      </c>
    </row>
    <row r="8" spans="1:13" x14ac:dyDescent="0.25">
      <c r="A8" s="1" t="s">
        <v>33</v>
      </c>
      <c r="B8" s="1" t="s">
        <v>34</v>
      </c>
      <c r="C8" s="1" t="s">
        <v>24</v>
      </c>
      <c r="D8" s="1" t="s">
        <v>25</v>
      </c>
      <c r="E8" s="1">
        <v>1500000</v>
      </c>
      <c r="F8" s="1">
        <v>2</v>
      </c>
      <c r="G8" s="1" t="s">
        <v>12</v>
      </c>
      <c r="H8" s="1" t="s">
        <v>27</v>
      </c>
      <c r="I8" s="1">
        <f>SalesData[[#This Row],[price]]*SalesData[[#This Row],[quantity]]</f>
        <v>3000000</v>
      </c>
      <c r="K8" t="s">
        <v>44</v>
      </c>
      <c r="L8">
        <f>COUNTIF(SalesData[city],"JAKARTA")</f>
        <v>4</v>
      </c>
    </row>
    <row r="9" spans="1:13" x14ac:dyDescent="0.25">
      <c r="A9" s="1" t="s">
        <v>35</v>
      </c>
      <c r="B9" s="1" t="s">
        <v>36</v>
      </c>
      <c r="C9" s="1" t="s">
        <v>10</v>
      </c>
      <c r="D9" s="1" t="s">
        <v>11</v>
      </c>
      <c r="E9" s="1">
        <v>8000000</v>
      </c>
      <c r="F9" s="1">
        <v>1</v>
      </c>
      <c r="G9" s="1" t="s">
        <v>26</v>
      </c>
      <c r="H9" s="1" t="s">
        <v>13</v>
      </c>
      <c r="I9" s="1">
        <f>SalesData[[#This Row],[price]]*SalesData[[#This Row],[quantity]]</f>
        <v>8000000</v>
      </c>
      <c r="K9" t="s">
        <v>45</v>
      </c>
      <c r="L9">
        <f>SUMIF(SalesData[city],"JAKARTA",SalesData[revenue])</f>
        <v>11750000</v>
      </c>
      <c r="M9" t="s">
        <v>46</v>
      </c>
    </row>
    <row r="10" spans="1:13" x14ac:dyDescent="0.25">
      <c r="K10" t="s">
        <v>47</v>
      </c>
      <c r="L10">
        <f>AVERAGEIF(SalesData[city],"JAKARTA",SalesData[revenue])</f>
        <v>2937500</v>
      </c>
    </row>
    <row r="12" spans="1:13" x14ac:dyDescent="0.25">
      <c r="A12">
        <f>SUM(SalesData[revenue])</f>
        <v>26750000</v>
      </c>
    </row>
    <row r="13" spans="1:13" x14ac:dyDescent="0.25">
      <c r="A13">
        <f>COUNTA(SalesData[order_id])</f>
        <v>8</v>
      </c>
    </row>
    <row r="14" spans="1:13" x14ac:dyDescent="0.25">
      <c r="A14">
        <f>AVERAGE(SalesData[revenue])</f>
        <v>3343750</v>
      </c>
    </row>
    <row r="15" spans="1:13" x14ac:dyDescent="0.25">
      <c r="A15">
        <f>MIN(SalesData[price])</f>
        <v>250000</v>
      </c>
    </row>
    <row r="16" spans="1:13" x14ac:dyDescent="0.25">
      <c r="A16">
        <f>COUNTIF(SalesData[city],"JAKARTA")</f>
        <v>4</v>
      </c>
    </row>
    <row r="17" spans="1:1" x14ac:dyDescent="0.25">
      <c r="A17">
        <f>COUNTIF(SalesData[category],"FURNITURE")</f>
        <v>3</v>
      </c>
    </row>
    <row r="18" spans="1:1" x14ac:dyDescent="0.25">
      <c r="A18">
        <f>SUMIF(SalesData[city],"JAKARTA",SalesData[revenue])</f>
        <v>11750000</v>
      </c>
    </row>
    <row r="19" spans="1:1" x14ac:dyDescent="0.25">
      <c r="A19">
        <f>SUMIF(SalesData[category],"ELECTRONICS",SalesData[revenue])</f>
        <v>17250000</v>
      </c>
    </row>
    <row r="20" spans="1:1" x14ac:dyDescent="0.25">
      <c r="A20">
        <f>AVERAGEIF(SalesData[city],"BANDUNG",SalesData[revenue])</f>
        <v>2750000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Mar'i Rachmat</dc:creator>
  <cp:lastModifiedBy>Mar'i Rachmat</cp:lastModifiedBy>
  <dcterms:created xsi:type="dcterms:W3CDTF">2026-10-01T06:37:54Z</dcterms:created>
  <dcterms:modified xsi:type="dcterms:W3CDTF">2026-10-01T14:47:49Z</dcterms:modified>
</cp:coreProperties>
</file>