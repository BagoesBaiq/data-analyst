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2ba69629624744/Documents/Bagus/data-analyst/WEEK 1/"/>
    </mc:Choice>
  </mc:AlternateContent>
  <xr:revisionPtr revIDLastSave="3" documentId="8_{59948581-97A7-4468-B0F1-50B0E5FD6B0E}" xr6:coauthVersionLast="47" xr6:coauthVersionMax="47" xr10:uidLastSave="{F0615309-6F80-4CF4-BABB-BDF302923183}"/>
  <bookViews>
    <workbookView xWindow="-120" yWindow="-120" windowWidth="20730" windowHeight="11760" xr2:uid="{5DCC4CC1-E9B9-43E6-89E7-2B2A630FF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R2" i="1"/>
  <c r="R3" i="1"/>
  <c r="R4" i="1"/>
  <c r="R5" i="1"/>
  <c r="R6" i="1"/>
  <c r="R7" i="1"/>
  <c r="R8" i="1"/>
  <c r="R9" i="1"/>
  <c r="M2" i="1"/>
  <c r="M3" i="1"/>
  <c r="M4" i="1"/>
  <c r="M5" i="1"/>
  <c r="M6" i="1"/>
  <c r="M7" i="1"/>
  <c r="M8" i="1"/>
  <c r="M9" i="1"/>
  <c r="L2" i="1"/>
  <c r="L3" i="1"/>
  <c r="L4" i="1"/>
  <c r="L5" i="1"/>
  <c r="L6" i="1"/>
  <c r="L7" i="1"/>
  <c r="L8" i="1"/>
  <c r="L9" i="1"/>
  <c r="K2" i="1"/>
  <c r="K3" i="1"/>
  <c r="K4" i="1"/>
  <c r="K5" i="1"/>
  <c r="K6" i="1"/>
  <c r="K7" i="1"/>
  <c r="K8" i="1"/>
  <c r="K9" i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Q9" i="1" l="1"/>
  <c r="Q5" i="1"/>
  <c r="P2" i="1"/>
  <c r="P6" i="1"/>
  <c r="Q8" i="1"/>
  <c r="Q4" i="1"/>
  <c r="P9" i="1"/>
  <c r="P5" i="1"/>
  <c r="Q7" i="1"/>
  <c r="Q3" i="1"/>
  <c r="P8" i="1"/>
  <c r="P4" i="1"/>
  <c r="O8" i="1"/>
  <c r="Q6" i="1"/>
  <c r="Q2" i="1"/>
  <c r="P7" i="1"/>
  <c r="P3" i="1"/>
  <c r="O6" i="1"/>
  <c r="O2" i="1"/>
  <c r="O9" i="1"/>
  <c r="O5" i="1"/>
  <c r="O4" i="1"/>
  <c r="O7" i="1"/>
  <c r="O3" i="1"/>
  <c r="N9" i="1"/>
  <c r="N5" i="1"/>
  <c r="N8" i="1"/>
  <c r="N4" i="1"/>
  <c r="N7" i="1"/>
  <c r="N3" i="1"/>
  <c r="N6" i="1"/>
  <c r="N2" i="1"/>
</calcChain>
</file>

<file path=xl/sharedStrings.xml><?xml version="1.0" encoding="utf-8"?>
<sst xmlns="http://schemas.openxmlformats.org/spreadsheetml/2006/main" count="67" uniqueCount="48">
  <si>
    <t>order_id</t>
  </si>
  <si>
    <t>customer</t>
  </si>
  <si>
    <t>product</t>
  </si>
  <si>
    <t>category</t>
  </si>
  <si>
    <t>price</t>
  </si>
  <si>
    <t>quantity</t>
  </si>
  <si>
    <t>city</t>
  </si>
  <si>
    <t>payment</t>
  </si>
  <si>
    <t>O001</t>
  </si>
  <si>
    <t>Andi</t>
  </si>
  <si>
    <t>Laptop</t>
  </si>
  <si>
    <t>Electronics</t>
  </si>
  <si>
    <t>Jakarta</t>
  </si>
  <si>
    <t>Transfer</t>
  </si>
  <si>
    <t>O002</t>
  </si>
  <si>
    <t>Budi</t>
  </si>
  <si>
    <t>Mouse</t>
  </si>
  <si>
    <t>Bandung</t>
  </si>
  <si>
    <t>E-Wallet</t>
  </si>
  <si>
    <t>O003</t>
  </si>
  <si>
    <t>Citra</t>
  </si>
  <si>
    <t>Keyboard</t>
  </si>
  <si>
    <t>O004</t>
  </si>
  <si>
    <t>Deni</t>
  </si>
  <si>
    <t>Chair</t>
  </si>
  <si>
    <t>Furniture</t>
  </si>
  <si>
    <t>Surabaya</t>
  </si>
  <si>
    <t>Credit Card</t>
  </si>
  <si>
    <t>O005</t>
  </si>
  <si>
    <t>Eka</t>
  </si>
  <si>
    <t>Desk</t>
  </si>
  <si>
    <t>O006</t>
  </si>
  <si>
    <t>Fajar</t>
  </si>
  <si>
    <t>O007</t>
  </si>
  <si>
    <t>Gina</t>
  </si>
  <si>
    <t>O008</t>
  </si>
  <si>
    <t>Hadi</t>
  </si>
  <si>
    <t>revenue</t>
  </si>
  <si>
    <t>order_status</t>
  </si>
  <si>
    <t>price_level</t>
  </si>
  <si>
    <t>quantity_status</t>
  </si>
  <si>
    <t>jakarta_flag</t>
  </si>
  <si>
    <t>revenue_segment</t>
  </si>
  <si>
    <t>order</t>
  </si>
  <si>
    <t>high_value</t>
  </si>
  <si>
    <t>bulk_order</t>
  </si>
  <si>
    <t>priority_city</t>
  </si>
  <si>
    <t>customer_segment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</si>
</sst>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21"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73CF99-8E5A-47AA-96AF-DE0CFF7A5089}" name="SalesData" displayName="SalesData" ref="A1:S9" totalsRowShown="0" headerRowDxfId="19" dataDxfId="18">
  <autoFilter ref="A1:S9" xr:uid="{BC73CF99-8E5A-47AA-96AF-DE0CFF7A5089}"/>
  <sortState xmlns:xlrd2="http://schemas.microsoft.com/office/spreadsheetml/2017/richdata2" ref="A2:H9">
    <sortCondition ref="A1:A9"/>
  </sortState>
  <tableColumns count="19">
    <tableColumn id="1" xr3:uid="{1584682B-3D6A-480F-8A2A-5E4EC854FEA1}" name="order_id" dataDxfId="20"/>
    <tableColumn id="2" xr3:uid="{2AB7C435-054C-4596-B7CB-EBCC6F67308B}" name="customer" dataDxfId="17"/>
    <tableColumn id="3" xr3:uid="{5B27054E-DDFB-420F-9D7C-D8A1C853BC20}" name="product" dataDxfId="16"/>
    <tableColumn id="4" xr3:uid="{2A999994-BCB3-4476-BA14-D6C8B99093F0}" name="category" dataDxfId="15"/>
    <tableColumn id="5" xr3:uid="{BCEF9A8A-345A-421A-B760-28F934A9F7BD}" name="price" dataDxfId="14"/>
    <tableColumn id="6" xr3:uid="{4AEAEF10-F1A4-431B-89CD-137DE9F13D9E}" name="quantity" dataDxfId="13"/>
    <tableColumn id="7" xr3:uid="{AAE71BCE-0CAC-4157-83F7-C7BEC7064CC5}" name="city" dataDxfId="12"/>
    <tableColumn id="8" xr3:uid="{7786B45B-8F34-471D-A75C-50C85AA9F9D5}" name="payment" dataDxfId="11"/>
    <tableColumn id="9" xr3:uid="{58F71E62-C0DA-4050-9BF3-01C1A30470E9}" name="revenue" dataDxfId="10">
      <calculatedColumnFormula>SalesData[[#This Row],[price]]*SalesData[[#This Row],[quantity]]</calculatedColumnFormula>
    </tableColumn>
    <tableColumn id="10" xr3:uid="{38528CEE-EA98-420E-91D1-8941A14F84B2}" name="order_status" dataDxfId="9">
      <calculatedColumnFormula>IF(SalesData[[#This Row],[revenue]]&gt;=2000000,"High","Normal")</calculatedColumnFormula>
    </tableColumn>
    <tableColumn id="11" xr3:uid="{DDEACB37-57B9-41A8-93CB-C1C1ACEDD1FC}" name="price_level" dataDxfId="8">
      <calculatedColumnFormula>IF(SalesData[[#This Row],[price]]&gt;= 5000000,"Premium","Standard")</calculatedColumnFormula>
    </tableColumn>
    <tableColumn id="12" xr3:uid="{21B8F165-EA99-4077-A8DF-4EC0A77A61BE}" name="quantity_status" dataDxfId="7">
      <calculatedColumnFormula>IF(SalesData[[#This Row],[quantity]]&gt;1,"Multiple","Single")</calculatedColumnFormula>
    </tableColumn>
    <tableColumn id="13" xr3:uid="{BF3B8FFA-107B-4E41-8C67-DD9490EBEA08}" name="jakarta_flag" dataDxfId="6">
      <calculatedColumnFormula>IF(SalesData[[#This Row],[city]]="jakarta","Yes","No")</calculatedColumnFormula>
    </tableColumn>
    <tableColumn id="14" xr3:uid="{B11230E6-BE8D-4933-AEBA-50B8DF9C59F3}" name="revenue_segment" dataDxfId="5">
      <calculatedColumnFormula>_xlfn.IFS(SalesData[[#This Row],[revenue]]&lt;1000000,"Low",SalesData[[#This Row],[revenue]]&lt;=3000000,"Medium",SalesData[[#This Row],[revenue]]&gt;3000000,"High")</calculatedColumnFormula>
    </tableColumn>
    <tableColumn id="15" xr3:uid="{1F7F879A-0B35-4339-8D8F-305E0D274A8C}" name="order" dataDxfId="4">
      <calculatedColumnFormula>IF(AND(SalesData[[#This Row],[quantity]]&gt;1,SalesData[[#This Row],[revenue]]&gt;2000000,),"Large Order","Regular")</calculatedColumnFormula>
    </tableColumn>
    <tableColumn id="16" xr3:uid="{D13A21ED-1E1B-446C-9890-92F493A9F5A2}" name="high_value" dataDxfId="2">
      <calculatedColumnFormula>IF(SalesData[[#This Row],[revenue]]&gt;=3000000,"High Value","Regular")</calculatedColumnFormula>
    </tableColumn>
    <tableColumn id="17" xr3:uid="{24A6D5FB-49D6-4F96-BF68-E1A0D540E367}" name="bulk_order" dataDxfId="3">
      <calculatedColumnFormula>IF(AND(SalesData[[#This Row],[quantity]]&gt;=2,SalesData[[#This Row],[revenue]]&gt;=1000000),"Bulk","Regular")</calculatedColumnFormula>
    </tableColumn>
    <tableColumn id="18" xr3:uid="{563072E5-CD7F-4DDA-BE6D-78B5568D055C}" name="priority_city" dataDxfId="1">
      <calculatedColumnFormula>IF(OR(SalesData[[#This Row],[city]]="jakarta",SalesData[[#This Row],[city]]="Surabaya"),"Priority","Normal")</calculatedColumnFormula>
    </tableColumn>
    <tableColumn id="19" xr3:uid="{5D8E5317-ADB2-459E-9910-90A25DBF0ADD}" name="customer_segment" dataDxfId="0">
      <calculatedColumnFormula>_xlfn.IFS(SalesData[[#This Row],[revenue]]&lt;1000000,"Low",SalesData[[#This Row],[revenue]]&lt;=3000000,"Medium",SalesData[[#This Row],[revenue]]&gt;3000000,"High")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5288C-0F2B-4D76-B11C-41306CFAF169}">
  <dimension ref="A1:S9"/>
  <sheetViews>
    <sheetView tabSelected="1" topLeftCell="K1" workbookViewId="0">
      <selection activeCell="S5" sqref="S5"/>
    </sheetView>
  </sheetViews>
  <sheetFormatPr defaultRowHeight="15" x14ac:dyDescent="0.25"/>
  <cols>
    <col min="1" max="1" width="13.140625" bestFit="1" customWidth="1"/>
    <col min="2" max="2" width="13.85546875" bestFit="1" customWidth="1"/>
    <col min="3" max="3" width="12.42578125" bestFit="1" customWidth="1"/>
    <col min="4" max="4" width="13.140625" bestFit="1" customWidth="1"/>
    <col min="5" max="5" width="10" bestFit="1" customWidth="1"/>
    <col min="6" max="6" width="13" bestFit="1" customWidth="1"/>
    <col min="7" max="7" width="9" bestFit="1" customWidth="1"/>
    <col min="8" max="8" width="13.42578125" bestFit="1" customWidth="1"/>
    <col min="9" max="10" width="13" bestFit="1" customWidth="1"/>
    <col min="11" max="11" width="17.7109375" bestFit="1" customWidth="1"/>
    <col min="12" max="12" width="17.28515625" bestFit="1" customWidth="1"/>
    <col min="13" max="13" width="13.28515625" bestFit="1" customWidth="1"/>
    <col min="14" max="14" width="17" bestFit="1" customWidth="1"/>
    <col min="15" max="15" width="10.42578125" bestFit="1" customWidth="1"/>
    <col min="16" max="16" width="13" bestFit="1" customWidth="1"/>
    <col min="17" max="17" width="13.42578125" bestFit="1" customWidth="1"/>
    <col min="18" max="18" width="13.140625" bestFit="1" customWidth="1"/>
    <col min="19" max="19" width="20.85546875" bestFit="1" customWidth="1"/>
  </cols>
  <sheetData>
    <row r="1" spans="1:19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42</v>
      </c>
      <c r="O1" s="2" t="s">
        <v>43</v>
      </c>
      <c r="P1" s="2" t="s">
        <v>44</v>
      </c>
      <c r="Q1" s="2" t="s">
        <v>45</v>
      </c>
      <c r="R1" s="2" t="s">
        <v>46</v>
      </c>
      <c r="S1" s="2" t="s">
        <v>47</v>
      </c>
    </row>
    <row r="2" spans="1:19" x14ac:dyDescent="0.25">
      <c r="A2" s="1" t="s">
        <v>8</v>
      </c>
      <c r="B2" s="1" t="s">
        <v>9</v>
      </c>
      <c r="C2" s="1" t="s">
        <v>10</v>
      </c>
      <c r="D2" s="1" t="s">
        <v>11</v>
      </c>
      <c r="E2" s="1">
        <v>8000000</v>
      </c>
      <c r="F2" s="1">
        <v>1</v>
      </c>
      <c r="G2" s="1" t="s">
        <v>12</v>
      </c>
      <c r="H2" s="1" t="s">
        <v>13</v>
      </c>
      <c r="I2" s="1">
        <f>SalesData[[#This Row],[price]]*SalesData[[#This Row],[quantity]]</f>
        <v>8000000</v>
      </c>
      <c r="J2" s="1" t="str">
        <f>IF(SalesData[[#This Row],[revenue]]&gt;=2000000,"High","Normal")</f>
        <v>High</v>
      </c>
      <c r="K2" s="1" t="str">
        <f>IF(SalesData[[#This Row],[price]]&gt;= 5000000,"Premium","Standard")</f>
        <v>Premium</v>
      </c>
      <c r="L2" s="3" t="str">
        <f>IF(SalesData[[#This Row],[quantity]]&gt;1,"Multiple","Single")</f>
        <v>Single</v>
      </c>
      <c r="M2" s="3" t="str">
        <f>IF(SalesData[[#This Row],[city]]="jakarta","Yes","No")</f>
        <v>Yes</v>
      </c>
      <c r="N2" s="3" t="str">
        <f>_xlfn.IFS(SalesData[[#This Row],[revenue]]&lt;1000000,"Low",SalesData[[#This Row],[revenue]]&lt;=3000000,"Medium",SalesData[[#This Row],[revenue]]&gt;3000000,"High")</f>
        <v>High</v>
      </c>
      <c r="O2" s="3" t="str">
        <f>IF(AND(SalesData[[#This Row],[quantity]]&gt;1,SalesData[[#This Row],[revenue]]&gt;2000000,),"Large Order","Regular")</f>
        <v>Regular</v>
      </c>
      <c r="P2" s="3" t="str">
        <f>IF(SalesData[[#This Row],[revenue]]&gt;=3000000,"High Value","Regular")</f>
        <v>High Value</v>
      </c>
      <c r="Q2" s="3" t="str">
        <f>IF(AND(SalesData[[#This Row],[quantity]]&gt;=2,SalesData[[#This Row],[revenue]]&gt;=1000000),"Bulk","Regular")</f>
        <v>Regular</v>
      </c>
      <c r="R2" s="3" t="str">
        <f>IF(OR(SalesData[[#This Row],[city]]="jakarta",SalesData[[#This Row],[city]]="Surabaya"),"Priority","Normal")</f>
        <v>Priority</v>
      </c>
      <c r="S2" s="3" t="str">
        <f>_xlfn.IFS(SalesData[[#This Row],[revenue]]&lt;1000000,"Low",SalesData[[#This Row],[revenue]]&lt;=3000000,"Medium",SalesData[[#This Row],[revenue]]&gt;3000000,"High")</f>
        <v>High</v>
      </c>
    </row>
    <row r="3" spans="1:19" x14ac:dyDescent="0.25">
      <c r="A3" s="1" t="s">
        <v>14</v>
      </c>
      <c r="B3" s="1" t="s">
        <v>15</v>
      </c>
      <c r="C3" s="1" t="s">
        <v>16</v>
      </c>
      <c r="D3" s="1" t="s">
        <v>11</v>
      </c>
      <c r="E3" s="1">
        <v>250000</v>
      </c>
      <c r="F3" s="1">
        <v>2</v>
      </c>
      <c r="G3" s="1" t="s">
        <v>17</v>
      </c>
      <c r="H3" s="1" t="s">
        <v>18</v>
      </c>
      <c r="I3" s="1">
        <f>SalesData[[#This Row],[price]]*SalesData[[#This Row],[quantity]]</f>
        <v>500000</v>
      </c>
      <c r="J3" s="1" t="str">
        <f>IF(SalesData[[#This Row],[revenue]]&gt;=2000000,"High","Normal")</f>
        <v>Normal</v>
      </c>
      <c r="K3" s="1" t="str">
        <f>IF(SalesData[[#This Row],[price]]&gt;= 5000000,"Premium","Standard")</f>
        <v>Standard</v>
      </c>
      <c r="L3" s="3" t="str">
        <f>IF(SalesData[[#This Row],[quantity]]&gt;1,"Multiple","Single")</f>
        <v>Multiple</v>
      </c>
      <c r="M3" s="3" t="str">
        <f>IF(SalesData[[#This Row],[city]]="jakarta","Yes","No")</f>
        <v>No</v>
      </c>
      <c r="N3" s="3" t="str">
        <f>_xlfn.IFS(SalesData[[#This Row],[revenue]]&lt;1000000,"Low",SalesData[[#This Row],[revenue]]&lt;=3000000,"Medium",SalesData[[#This Row],[revenue]]&gt;3000000,"High")</f>
        <v>Low</v>
      </c>
      <c r="O3" s="3" t="str">
        <f>IF(AND(SalesData[[#This Row],[quantity]]&gt;1,SalesData[[#This Row],[revenue]]&gt;2000000,),"Large Order","Regular")</f>
        <v>Regular</v>
      </c>
      <c r="P3" s="3" t="str">
        <f>IF(SalesData[[#This Row],[revenue]]&gt;=3000000,"High Value","Regular")</f>
        <v>Regular</v>
      </c>
      <c r="Q3" s="3" t="str">
        <f>IF(AND(SalesData[[#This Row],[quantity]]&gt;=2,SalesData[[#This Row],[revenue]]&gt;=1000000),"Bulk","Regular")</f>
        <v>Regular</v>
      </c>
      <c r="R3" s="3" t="str">
        <f>IF(OR(SalesData[[#This Row],[city]]="jakarta",SalesData[[#This Row],[city]]="Surabaya"),"Priority","Normal")</f>
        <v>Normal</v>
      </c>
      <c r="S3" s="3" t="str">
        <f>_xlfn.IFS(SalesData[[#This Row],[revenue]]&lt;1000000,"Low",SalesData[[#This Row],[revenue]]&lt;=3000000,"Medium",SalesData[[#This Row],[revenue]]&gt;3000000,"High")</f>
        <v>Low</v>
      </c>
    </row>
    <row r="4" spans="1:19" x14ac:dyDescent="0.25">
      <c r="A4" s="1" t="s">
        <v>19</v>
      </c>
      <c r="B4" s="1" t="s">
        <v>20</v>
      </c>
      <c r="C4" s="1" t="s">
        <v>21</v>
      </c>
      <c r="D4" s="1" t="s">
        <v>11</v>
      </c>
      <c r="E4" s="1">
        <v>500000</v>
      </c>
      <c r="F4" s="1">
        <v>1</v>
      </c>
      <c r="G4" s="1" t="s">
        <v>12</v>
      </c>
      <c r="H4" s="1" t="s">
        <v>13</v>
      </c>
      <c r="I4" s="1">
        <f>SalesData[[#This Row],[price]]*SalesData[[#This Row],[quantity]]</f>
        <v>500000</v>
      </c>
      <c r="J4" s="1" t="str">
        <f>IF(SalesData[[#This Row],[revenue]]&gt;=2000000,"High","Normal")</f>
        <v>Normal</v>
      </c>
      <c r="K4" s="1" t="str">
        <f>IF(SalesData[[#This Row],[price]]&gt;= 5000000,"Premium","Standard")</f>
        <v>Standard</v>
      </c>
      <c r="L4" s="3" t="str">
        <f>IF(SalesData[[#This Row],[quantity]]&gt;1,"Multiple","Single")</f>
        <v>Single</v>
      </c>
      <c r="M4" s="3" t="str">
        <f>IF(SalesData[[#This Row],[city]]="jakarta","Yes","No")</f>
        <v>Yes</v>
      </c>
      <c r="N4" s="3" t="str">
        <f>_xlfn.IFS(SalesData[[#This Row],[revenue]]&lt;1000000,"Low",SalesData[[#This Row],[revenue]]&lt;=3000000,"Medium",SalesData[[#This Row],[revenue]]&gt;3000000,"High")</f>
        <v>Low</v>
      </c>
      <c r="O4" s="3" t="str">
        <f>IF(AND(SalesData[[#This Row],[quantity]]&gt;1,SalesData[[#This Row],[revenue]]&gt;2000000,),"Large Order","Regular")</f>
        <v>Regular</v>
      </c>
      <c r="P4" s="3" t="str">
        <f>IF(SalesData[[#This Row],[revenue]]&gt;=3000000,"High Value","Regular")</f>
        <v>Regular</v>
      </c>
      <c r="Q4" s="3" t="str">
        <f>IF(AND(SalesData[[#This Row],[quantity]]&gt;=2,SalesData[[#This Row],[revenue]]&gt;=1000000),"Bulk","Regular")</f>
        <v>Regular</v>
      </c>
      <c r="R4" s="3" t="str">
        <f>IF(OR(SalesData[[#This Row],[city]]="jakarta",SalesData[[#This Row],[city]]="Surabaya"),"Priority","Normal")</f>
        <v>Priority</v>
      </c>
      <c r="S4" s="3" t="str">
        <f>_xlfn.IFS(SalesData[[#This Row],[revenue]]&lt;1000000,"Low",SalesData[[#This Row],[revenue]]&lt;=3000000,"Medium",SalesData[[#This Row],[revenue]]&gt;3000000,"High")</f>
        <v>Low</v>
      </c>
    </row>
    <row r="5" spans="1:19" x14ac:dyDescent="0.25">
      <c r="A5" s="1" t="s">
        <v>22</v>
      </c>
      <c r="B5" s="1" t="s">
        <v>23</v>
      </c>
      <c r="C5" s="1" t="s">
        <v>24</v>
      </c>
      <c r="D5" s="1" t="s">
        <v>25</v>
      </c>
      <c r="E5" s="1">
        <v>1500000</v>
      </c>
      <c r="F5" s="1">
        <v>1</v>
      </c>
      <c r="G5" s="1" t="s">
        <v>26</v>
      </c>
      <c r="H5" s="1" t="s">
        <v>27</v>
      </c>
      <c r="I5" s="1">
        <f>SalesData[[#This Row],[price]]*SalesData[[#This Row],[quantity]]</f>
        <v>1500000</v>
      </c>
      <c r="J5" s="1" t="str">
        <f>IF(SalesData[[#This Row],[revenue]]&gt;=2000000,"High","Normal")</f>
        <v>Normal</v>
      </c>
      <c r="K5" s="1" t="str">
        <f>IF(SalesData[[#This Row],[price]]&gt;= 5000000,"Premium","Standard")</f>
        <v>Standard</v>
      </c>
      <c r="L5" s="3" t="str">
        <f>IF(SalesData[[#This Row],[quantity]]&gt;1,"Multiple","Single")</f>
        <v>Single</v>
      </c>
      <c r="M5" s="3" t="str">
        <f>IF(SalesData[[#This Row],[city]]="jakarta","Yes","No")</f>
        <v>No</v>
      </c>
      <c r="N5" s="3" t="str">
        <f>_xlfn.IFS(SalesData[[#This Row],[revenue]]&lt;1000000,"Low",SalesData[[#This Row],[revenue]]&lt;=3000000,"Medium",SalesData[[#This Row],[revenue]]&gt;3000000,"High")</f>
        <v>Medium</v>
      </c>
      <c r="O5" s="3" t="str">
        <f>IF(AND(SalesData[[#This Row],[quantity]]&gt;1,SalesData[[#This Row],[revenue]]&gt;2000000,),"Large Order","Regular")</f>
        <v>Regular</v>
      </c>
      <c r="P5" s="3" t="str">
        <f>IF(SalesData[[#This Row],[revenue]]&gt;=3000000,"High Value","Regular")</f>
        <v>Regular</v>
      </c>
      <c r="Q5" s="3" t="str">
        <f>IF(AND(SalesData[[#This Row],[quantity]]&gt;=2,SalesData[[#This Row],[revenue]]&gt;=1000000),"Bulk","Regular")</f>
        <v>Regular</v>
      </c>
      <c r="R5" s="3" t="str">
        <f>IF(OR(SalesData[[#This Row],[city]]="jakarta",SalesData[[#This Row],[city]]="Surabaya"),"Priority","Normal")</f>
        <v>Priority</v>
      </c>
      <c r="S5" s="3" t="str">
        <f>_xlfn.IFS(SalesData[[#This Row],[revenue]]&lt;1000000,"Low",SalesData[[#This Row],[revenue]]&lt;=3000000,"Medium",SalesData[[#This Row],[revenue]]&gt;3000000,"High")</f>
        <v>Medium</v>
      </c>
    </row>
    <row r="6" spans="1:19" x14ac:dyDescent="0.25">
      <c r="A6" s="1" t="s">
        <v>28</v>
      </c>
      <c r="B6" s="1" t="s">
        <v>29</v>
      </c>
      <c r="C6" s="1" t="s">
        <v>30</v>
      </c>
      <c r="D6" s="1" t="s">
        <v>25</v>
      </c>
      <c r="E6" s="1">
        <v>2500000</v>
      </c>
      <c r="F6" s="1">
        <v>2</v>
      </c>
      <c r="G6" s="1" t="s">
        <v>17</v>
      </c>
      <c r="H6" s="1" t="s">
        <v>13</v>
      </c>
      <c r="I6" s="1">
        <f>SalesData[[#This Row],[price]]*SalesData[[#This Row],[quantity]]</f>
        <v>5000000</v>
      </c>
      <c r="J6" s="1" t="str">
        <f>IF(SalesData[[#This Row],[revenue]]&gt;=2000000,"High","Normal")</f>
        <v>High</v>
      </c>
      <c r="K6" s="1" t="str">
        <f>IF(SalesData[[#This Row],[price]]&gt;= 5000000,"Premium","Standard")</f>
        <v>Standard</v>
      </c>
      <c r="L6" s="3" t="str">
        <f>IF(SalesData[[#This Row],[quantity]]&gt;1,"Multiple","Single")</f>
        <v>Multiple</v>
      </c>
      <c r="M6" s="3" t="str">
        <f>IF(SalesData[[#This Row],[city]]="jakarta","Yes","No")</f>
        <v>No</v>
      </c>
      <c r="N6" s="3" t="str">
        <f>_xlfn.IFS(SalesData[[#This Row],[revenue]]&lt;1000000,"Low",SalesData[[#This Row],[revenue]]&lt;=3000000,"Medium",SalesData[[#This Row],[revenue]]&gt;3000000,"High")</f>
        <v>High</v>
      </c>
      <c r="O6" s="3" t="str">
        <f>IF(AND(SalesData[[#This Row],[quantity]]&gt;1,SalesData[[#This Row],[revenue]]&gt;2000000,),"Large Order","Regular")</f>
        <v>Regular</v>
      </c>
      <c r="P6" s="3" t="str">
        <f>IF(SalesData[[#This Row],[revenue]]&gt;=3000000,"High Value","Regular")</f>
        <v>High Value</v>
      </c>
      <c r="Q6" s="3" t="str">
        <f>IF(AND(SalesData[[#This Row],[quantity]]&gt;=2,SalesData[[#This Row],[revenue]]&gt;=1000000),"Bulk","Regular")</f>
        <v>Bulk</v>
      </c>
      <c r="R6" s="3" t="str">
        <f>IF(OR(SalesData[[#This Row],[city]]="jakarta",SalesData[[#This Row],[city]]="Surabaya"),"Priority","Normal")</f>
        <v>Normal</v>
      </c>
      <c r="S6" s="3" t="str">
        <f>_xlfn.IFS(SalesData[[#This Row],[revenue]]&lt;1000000,"Low",SalesData[[#This Row],[revenue]]&lt;=3000000,"Medium",SalesData[[#This Row],[revenue]]&gt;3000000,"High")</f>
        <v>High</v>
      </c>
    </row>
    <row r="7" spans="1:19" x14ac:dyDescent="0.25">
      <c r="A7" s="1" t="s">
        <v>31</v>
      </c>
      <c r="B7" s="1" t="s">
        <v>32</v>
      </c>
      <c r="C7" s="1" t="s">
        <v>16</v>
      </c>
      <c r="D7" s="1" t="s">
        <v>11</v>
      </c>
      <c r="E7" s="1">
        <v>250000</v>
      </c>
      <c r="F7" s="1">
        <v>1</v>
      </c>
      <c r="G7" s="1" t="s">
        <v>12</v>
      </c>
      <c r="H7" s="1" t="s">
        <v>18</v>
      </c>
      <c r="I7" s="1">
        <f>SalesData[[#This Row],[price]]*SalesData[[#This Row],[quantity]]</f>
        <v>250000</v>
      </c>
      <c r="J7" s="1" t="str">
        <f>IF(SalesData[[#This Row],[revenue]]&gt;=2000000,"High","Normal")</f>
        <v>Normal</v>
      </c>
      <c r="K7" s="1" t="str">
        <f>IF(SalesData[[#This Row],[price]]&gt;= 5000000,"Premium","Standard")</f>
        <v>Standard</v>
      </c>
      <c r="L7" s="3" t="str">
        <f>IF(SalesData[[#This Row],[quantity]]&gt;1,"Multiple","Single")</f>
        <v>Single</v>
      </c>
      <c r="M7" s="3" t="str">
        <f>IF(SalesData[[#This Row],[city]]="jakarta","Yes","No")</f>
        <v>Yes</v>
      </c>
      <c r="N7" s="3" t="str">
        <f>_xlfn.IFS(SalesData[[#This Row],[revenue]]&lt;1000000,"Low",SalesData[[#This Row],[revenue]]&lt;=3000000,"Medium",SalesData[[#This Row],[revenue]]&gt;3000000,"High")</f>
        <v>Low</v>
      </c>
      <c r="O7" s="3" t="str">
        <f>IF(AND(SalesData[[#This Row],[quantity]]&gt;1,SalesData[[#This Row],[revenue]]&gt;2000000,),"Large Order","Regular")</f>
        <v>Regular</v>
      </c>
      <c r="P7" s="3" t="str">
        <f>IF(SalesData[[#This Row],[revenue]]&gt;=3000000,"High Value","Regular")</f>
        <v>Regular</v>
      </c>
      <c r="Q7" s="3" t="str">
        <f>IF(AND(SalesData[[#This Row],[quantity]]&gt;=2,SalesData[[#This Row],[revenue]]&gt;=1000000),"Bulk","Regular")</f>
        <v>Regular</v>
      </c>
      <c r="R7" s="3" t="str">
        <f>IF(OR(SalesData[[#This Row],[city]]="jakarta",SalesData[[#This Row],[city]]="Surabaya"),"Priority","Normal")</f>
        <v>Priority</v>
      </c>
      <c r="S7" s="3" t="str">
        <f>_xlfn.IFS(SalesData[[#This Row],[revenue]]&lt;1000000,"Low",SalesData[[#This Row],[revenue]]&lt;=3000000,"Medium",SalesData[[#This Row],[revenue]]&gt;3000000,"High")</f>
        <v>Low</v>
      </c>
    </row>
    <row r="8" spans="1:19" x14ac:dyDescent="0.25">
      <c r="A8" s="1" t="s">
        <v>33</v>
      </c>
      <c r="B8" s="1" t="s">
        <v>34</v>
      </c>
      <c r="C8" s="1" t="s">
        <v>24</v>
      </c>
      <c r="D8" s="1" t="s">
        <v>25</v>
      </c>
      <c r="E8" s="1">
        <v>1500000</v>
      </c>
      <c r="F8" s="1">
        <v>2</v>
      </c>
      <c r="G8" s="1" t="s">
        <v>12</v>
      </c>
      <c r="H8" s="1" t="s">
        <v>27</v>
      </c>
      <c r="I8" s="1">
        <f>SalesData[[#This Row],[price]]*SalesData[[#This Row],[quantity]]</f>
        <v>3000000</v>
      </c>
      <c r="J8" s="1" t="str">
        <f>IF(SalesData[[#This Row],[revenue]]&gt;=2000000,"High","Normal")</f>
        <v>High</v>
      </c>
      <c r="K8" s="1" t="str">
        <f>IF(SalesData[[#This Row],[price]]&gt;= 5000000,"Premium","Standard")</f>
        <v>Standard</v>
      </c>
      <c r="L8" s="3" t="str">
        <f>IF(SalesData[[#This Row],[quantity]]&gt;1,"Multiple","Single")</f>
        <v>Multiple</v>
      </c>
      <c r="M8" s="3" t="str">
        <f>IF(SalesData[[#This Row],[city]]="jakarta","Yes","No")</f>
        <v>Yes</v>
      </c>
      <c r="N8" s="3" t="str">
        <f>_xlfn.IFS(SalesData[[#This Row],[revenue]]&lt;1000000,"Low",SalesData[[#This Row],[revenue]]&lt;=3000000,"Medium",SalesData[[#This Row],[revenue]]&gt;3000000,"High")</f>
        <v>Medium</v>
      </c>
      <c r="O8" s="3" t="str">
        <f>IF(AND(SalesData[[#This Row],[quantity]]&gt;1,SalesData[[#This Row],[revenue]]&gt;2000000,),"Large Order","Regular")</f>
        <v>Regular</v>
      </c>
      <c r="P8" s="3" t="str">
        <f>IF(SalesData[[#This Row],[revenue]]&gt;=3000000,"High Value","Regular")</f>
        <v>High Value</v>
      </c>
      <c r="Q8" s="3" t="str">
        <f>IF(AND(SalesData[[#This Row],[quantity]]&gt;=2,SalesData[[#This Row],[revenue]]&gt;=1000000),"Bulk","Regular")</f>
        <v>Bulk</v>
      </c>
      <c r="R8" s="3" t="str">
        <f>IF(OR(SalesData[[#This Row],[city]]="jakarta",SalesData[[#This Row],[city]]="Surabaya"),"Priority","Normal")</f>
        <v>Priority</v>
      </c>
      <c r="S8" s="3" t="str">
        <f>_xlfn.IFS(SalesData[[#This Row],[revenue]]&lt;1000000,"Low",SalesData[[#This Row],[revenue]]&lt;=3000000,"Medium",SalesData[[#This Row],[revenue]]&gt;3000000,"High")</f>
        <v>Medium</v>
      </c>
    </row>
    <row r="9" spans="1:19" x14ac:dyDescent="0.25">
      <c r="A9" s="1" t="s">
        <v>35</v>
      </c>
      <c r="B9" s="1" t="s">
        <v>36</v>
      </c>
      <c r="C9" s="1" t="s">
        <v>10</v>
      </c>
      <c r="D9" s="1" t="s">
        <v>11</v>
      </c>
      <c r="E9" s="1">
        <v>8000000</v>
      </c>
      <c r="F9" s="1">
        <v>1</v>
      </c>
      <c r="G9" s="1" t="s">
        <v>26</v>
      </c>
      <c r="H9" s="1" t="s">
        <v>13</v>
      </c>
      <c r="I9" s="1">
        <f>SalesData[[#This Row],[price]]*SalesData[[#This Row],[quantity]]</f>
        <v>8000000</v>
      </c>
      <c r="J9" s="1" t="str">
        <f>IF(SalesData[[#This Row],[revenue]]&gt;=2000000,"High","Normal")</f>
        <v>High</v>
      </c>
      <c r="K9" s="1" t="str">
        <f>IF(SalesData[[#This Row],[price]]&gt;= 5000000,"Premium","Standard")</f>
        <v>Premium</v>
      </c>
      <c r="L9" s="3" t="str">
        <f>IF(SalesData[[#This Row],[quantity]]&gt;1,"Multiple","Single")</f>
        <v>Single</v>
      </c>
      <c r="M9" s="3" t="str">
        <f>IF(SalesData[[#This Row],[city]]="jakarta","Yes","No")</f>
        <v>No</v>
      </c>
      <c r="N9" s="3" t="str">
        <f>_xlfn.IFS(SalesData[[#This Row],[revenue]]&lt;1000000,"Low",SalesData[[#This Row],[revenue]]&lt;=3000000,"Medium",SalesData[[#This Row],[revenue]]&gt;3000000,"High")</f>
        <v>High</v>
      </c>
      <c r="O9" s="3" t="str">
        <f>IF(AND(SalesData[[#This Row],[quantity]]&gt;1,SalesData[[#This Row],[revenue]]&gt;2000000,),"Large Order","Regular")</f>
        <v>Regular</v>
      </c>
      <c r="P9" s="3" t="str">
        <f>IF(SalesData[[#This Row],[revenue]]&gt;=3000000,"High Value","Regular")</f>
        <v>High Value</v>
      </c>
      <c r="Q9" s="3" t="str">
        <f>IF(AND(SalesData[[#This Row],[quantity]]&gt;=2,SalesData[[#This Row],[revenue]]&gt;=1000000),"Bulk","Regular")</f>
        <v>Regular</v>
      </c>
      <c r="R9" s="3" t="str">
        <f>IF(OR(SalesData[[#This Row],[city]]="jakarta",SalesData[[#This Row],[city]]="Surabaya"),"Priority","Normal")</f>
        <v>Priority</v>
      </c>
      <c r="S9" s="3" t="str">
        <f>_xlfn.IFS(SalesData[[#This Row],[revenue]]&lt;1000000,"Low",SalesData[[#This Row],[revenue]]&lt;=3000000,"Medium",SalesData[[#This Row],[revenue]]&gt;3000000,"High")</f>
        <v>High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Mar'i Rachmat</dc:creator>
  <cp:lastModifiedBy>Mar'i Rachmat</cp:lastModifiedBy>
  <dcterms:created xsi:type="dcterms:W3CDTF">2026-10-01T06:37:54Z</dcterms:created>
  <dcterms:modified xsi:type="dcterms:W3CDTF">2026-10-01T18:01:02Z</dcterms:modified>
</cp:coreProperties>
</file>